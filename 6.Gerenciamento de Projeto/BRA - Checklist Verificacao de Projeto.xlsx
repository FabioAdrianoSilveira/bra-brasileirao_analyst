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2D0C6817-34FD-4E10-8215-AE31183EBF81}" xr6:coauthVersionLast="47" xr6:coauthVersionMax="47" xr10:uidLastSave="{00000000-0000-0000-0000-000000000000}"/>
  <bookViews>
    <workbookView xWindow="-19310" yWindow="-110" windowWidth="19420" windowHeight="11020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N27" i="8" s="1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36" i="8" l="1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<sst xmlns="http://schemas.openxmlformats.org/spreadsheetml/2006/main" count="321" uniqueCount="119">
  <si>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</si>
  <si>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</si>
  <si>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</si>
  <si>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</si>
  <si>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</si>
  <si>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</si>
  <si>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</si>
  <si>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</si>
  <si>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</si>
  <si>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</si>
  <si>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</si>
  <si>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</si>
  <si>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</si>
  <si>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</si>
  <si>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</si>
  <si>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</si>
  <si>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</si>
  <si>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</si>
  <si>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</si>
  <si>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</si>
  <si>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</si>
  <si>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</si>
  <si>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</si>
  <si>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</si>
  <si>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</si>
  <si>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</si>
  <si>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</si>
  <si>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</si>
  <si>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</si>
  <si>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</si>
  <si>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</si>
  <si>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</si>
  <si>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</si>
  <si>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</si>
  <si>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</si>
  <si>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</si>
  <si>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</si>
  <si>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</si>
  <si>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</si>
  <si>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</si>
  <si>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</si>
  <si>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</si>
  <si>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</si>
  <si>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</si>
  <si>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</si>
  <si>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</si>
  <si>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</si>
  <si>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</si>
  <si>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</si>
  <si>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</si>
  <si>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</si>
  <si>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</si>
  <si>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</si>
  <si>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</si>
  <si>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</si>
  <si>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</si>
  <si>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</si>
  <si>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</si>
  <si>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</si>
  <si>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</si>
  <si>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</si>
  <si>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</si>
  <si>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</si>
  <si>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</si>
  <si>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</si>
  <si>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</si>
  <si>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</si>
  <si>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</si>
  <si>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</si>
  <si>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</si>
  <si>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</si>
  <si>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</si>
  <si>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</si>
  <si>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</si>
  <si>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</si>
  <si>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</si>
  <si>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</si>
  <si>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</si>
  <si>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</si>
  <si>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</si>
  <si>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</si>
  <si>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</si>
  <si>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</si>
  <si>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</si>
  <si>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</si>
  <si>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</si>
  <si>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</si>
  <si>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</si>
  <si>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</si>
  <si>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</si>
  <si>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</si>
  <si>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</si>
  <si>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</si>
  <si>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</si>
  <si>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</si>
  <si>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</si>
  <si>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</si>
  <si>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</si>
  <si>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</si>
  <si>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</si>
  <si>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</si>
  <si>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</si>
  <si>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</si>
  <si>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</si>
  <si>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</si>
  <si>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</si>
  <si>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</si>
  <si>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</si>
  <si>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</si>
  <si>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</si>
  <si>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</si>
  <si>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</si>
  <si>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</si>
  <si>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</si>
  <si>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Não</t>
  </si>
  <si>
    <t>Sim</t>
  </si>
  <si>
    <t>NA</t>
  </si>
  <si>
    <t>Nunca foram atualizados</t>
  </si>
  <si>
    <t>Fábio Adriano Silveira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</si>
</sst>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14" fontId="0" fillId="0" borderId="11" xfId="0" applyNumberFormat="1" applyBorder="1" applyAlignment="1">
      <alignment horizontal="left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0" fillId="0" borderId="1" xfId="0" applyBorder="1" applyAlignment="1">
      <alignment wrapText="1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0.95238095238095233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0.75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4.4"/>
  <cols>
    <col min="1" max="1" width="24.33203125" bestFit="1" customWidth="1"/>
    <col min="2" max="2" width="39" style="17" customWidth="1"/>
  </cols>
  <sheetData>
    <row r="1" spans="1:2" ht="18">
      <c r="A1" s="41" t="s">
        <v>70</v>
      </c>
      <c r="B1" s="41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0.95238095238095233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4.4"/>
  <cols>
    <col min="1" max="1" width="18.33203125" customWidth="1"/>
    <col min="2" max="2" width="8.109375" customWidth="1"/>
    <col min="3" max="3" width="17.109375" bestFit="1" customWidth="1"/>
    <col min="4" max="4" width="6.88671875" customWidth="1"/>
    <col min="5" max="5" width="6.44140625" customWidth="1"/>
    <col min="6" max="6" width="6.88671875" customWidth="1"/>
    <col min="14" max="14" width="13.109375" customWidth="1"/>
    <col min="16" max="16" width="11.332031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0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1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>
        <f>('Ver-Iniciação1'!$G$7/SUM('Ver-Iniciação1'!$G$7:'Ver-Iniciação1'!$J$7))</f>
        <v>1</v>
      </c>
      <c r="C3" s="25">
        <f>('Ver-Iniciação1'!$H$7/SUM('Ver-Iniciação1'!$G$7:'Ver-Iniciação1'!$J$7))</f>
        <v>0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>
        <f>('Ver-Iniciação1'!$G$13/SUM('Ver-Iniciação1'!$G$13:'Ver-Iniciação1'!$J$13))</f>
        <v>0.8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</v>
      </c>
      <c r="E4" s="25">
        <f>('Ver-Iniciação1'!$J$13/SUM('Ver-Iniciação1'!$G$13:'Ver-Iniciação1'!$J$13))</f>
        <v>0.2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>
        <f>('Ver-Iniciação1'!$G$19/SUM('Ver-Iniciação1'!$G$19:'Ver-Iniciação1'!$J$19))</f>
        <v>0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0</v>
      </c>
      <c r="E5" s="25">
        <f>('Ver-Iniciação1'!$J$19/SUM('Ver-Iniciação1'!$G$19:'Ver-Iniciação1'!$J$19))</f>
        <v>1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>
        <f>('Ver-Iniciação1'!$G$22/SUM('Ver-Iniciação1'!$G$22:'Ver-Iniciação1'!$J$22))</f>
        <v>0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1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1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>
        <f>('Ver-Iniciação1'!$G$28/SUM('Ver-Iniciação1'!$G$28:'Ver-Iniciação1'!$J$28))</f>
        <v>1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>
        <f>('Ver-Iniciação1'!$G$37/SUM('Ver-Iniciação1'!$G$37:'Ver-Iniciação1'!$J$37))</f>
        <v>0.75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0.25</v>
      </c>
      <c r="E11" s="25">
        <f>('Ver-Iniciação1'!$J$37/SUM('Ver-Iniciação1'!$G$37:'Ver-Iniciação1'!$J$37))</f>
        <v>0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zoomScaleNormal="100" workbookViewId="0">
      <selection activeCell="D36" sqref="D36"/>
    </sheetView>
  </sheetViews>
  <sheetFormatPr defaultRowHeight="17.399999999999999"/>
  <cols>
    <col min="1" max="1" width="21.109375" customWidth="1"/>
    <col min="2" max="2" width="5.33203125" style="4" customWidth="1"/>
    <col min="3" max="3" width="89.21875" style="2" bestFit="1" customWidth="1"/>
    <col min="4" max="4" width="9.88671875" bestFit="1" customWidth="1"/>
    <col min="5" max="5" width="31.88671875" customWidth="1"/>
    <col min="6" max="6" width="28" customWidth="1"/>
    <col min="7" max="7" width="4.44140625" hidden="1" customWidth="1"/>
    <col min="8" max="8" width="6.109375" hidden="1" customWidth="1"/>
    <col min="9" max="9" width="9.33203125" hidden="1" customWidth="1"/>
    <col min="10" max="10" width="6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28">
        <v>46259</v>
      </c>
      <c r="D2" s="39" t="s">
        <v>44</v>
      </c>
      <c r="E2" s="40"/>
      <c r="F2" s="21">
        <f>COUNTIF(D5:D41,"Sim")/(COUNTA(D5:D41)-COUNTIF(D5:D41,"NA"))</f>
        <v>0.95238095238095233</v>
      </c>
    </row>
    <row r="3" spans="1:10" ht="15" thickBot="1">
      <c r="A3" s="33" t="s">
        <v>26</v>
      </c>
      <c r="B3" s="33"/>
      <c r="C3" s="13" t="s">
        <v>118</v>
      </c>
      <c r="D3" s="36" t="s">
        <v>43</v>
      </c>
      <c r="E3" s="37"/>
      <c r="F3" s="38"/>
    </row>
    <row r="4" spans="1:10" ht="14.4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4.4">
      <c r="A5" s="34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1</v>
      </c>
    </row>
    <row r="6" spans="1:10" ht="14.4">
      <c r="A6" s="35"/>
      <c r="B6" s="5">
        <v>1</v>
      </c>
      <c r="C6" s="8" t="s">
        <v>33</v>
      </c>
      <c r="D6" s="3" t="s">
        <v>116</v>
      </c>
      <c r="E6" s="8"/>
      <c r="F6" s="8"/>
    </row>
    <row r="7" spans="1:10" ht="15" customHeight="1">
      <c r="A7" s="34" t="s">
        <v>17</v>
      </c>
      <c r="B7" s="9"/>
      <c r="C7" s="10" t="s">
        <v>2</v>
      </c>
      <c r="D7" s="12"/>
      <c r="E7" s="12"/>
      <c r="F7" s="12"/>
      <c r="G7">
        <f>COUNTIF(D8:D12,"Sim")</f>
        <v>5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1"/>
      <c r="B8" s="22">
        <v>2</v>
      </c>
      <c r="C8" s="24" t="s">
        <v>72</v>
      </c>
      <c r="D8" s="3" t="s">
        <v>115</v>
      </c>
      <c r="E8" s="8"/>
      <c r="F8" s="8"/>
    </row>
    <row r="9" spans="1:10" ht="14.4">
      <c r="A9" s="31"/>
      <c r="B9" s="5">
        <v>3</v>
      </c>
      <c r="C9" s="8" t="s">
        <v>31</v>
      </c>
      <c r="D9" s="3" t="s">
        <v>115</v>
      </c>
      <c r="E9" s="8"/>
      <c r="F9" s="8"/>
    </row>
    <row r="10" spans="1:10" ht="14.4">
      <c r="A10" s="31"/>
      <c r="B10" s="5">
        <v>4</v>
      </c>
      <c r="C10" s="8" t="s">
        <v>77</v>
      </c>
      <c r="D10" s="3" t="s">
        <v>115</v>
      </c>
      <c r="E10" s="8"/>
      <c r="F10" s="8"/>
    </row>
    <row r="11" spans="1:10" s="1" customFormat="1" ht="14.4">
      <c r="A11" s="31"/>
      <c r="B11" s="5">
        <v>5</v>
      </c>
      <c r="C11" s="8" t="s">
        <v>32</v>
      </c>
      <c r="D11" s="3" t="s">
        <v>115</v>
      </c>
      <c r="E11" s="8"/>
      <c r="F11" s="8"/>
    </row>
    <row r="12" spans="1:10" ht="16.5" customHeight="1">
      <c r="A12" s="31"/>
      <c r="B12" s="5">
        <v>6</v>
      </c>
      <c r="C12" s="8" t="s">
        <v>40</v>
      </c>
      <c r="D12" s="3" t="s">
        <v>115</v>
      </c>
      <c r="E12" s="8"/>
      <c r="F12" s="8"/>
    </row>
    <row r="13" spans="1:10" ht="14.4">
      <c r="A13" s="31"/>
      <c r="B13" s="9"/>
      <c r="C13" s="10" t="s">
        <v>3</v>
      </c>
      <c r="D13" s="12"/>
      <c r="E13" s="12"/>
      <c r="F13" s="12"/>
      <c r="G13">
        <f>COUNTIF(D14:D18,"Sim")</f>
        <v>4</v>
      </c>
      <c r="H13">
        <f>COUNTIF(D14:D18,"Parcialmente")</f>
        <v>0</v>
      </c>
      <c r="I13">
        <f>COUNTIF(D14:D18,"Não")</f>
        <v>0</v>
      </c>
      <c r="J13">
        <f>COUNTIF(D14:D18,"NA")</f>
        <v>1</v>
      </c>
    </row>
    <row r="14" spans="1:10" ht="14.4">
      <c r="A14" s="31"/>
      <c r="B14" s="23">
        <v>7</v>
      </c>
      <c r="C14" s="24" t="s">
        <v>72</v>
      </c>
      <c r="D14" s="3" t="s">
        <v>115</v>
      </c>
      <c r="E14" s="8"/>
      <c r="F14" s="8"/>
    </row>
    <row r="15" spans="1:10" s="1" customFormat="1" ht="28.8">
      <c r="A15" s="31"/>
      <c r="B15" s="5">
        <v>8</v>
      </c>
      <c r="C15" s="8" t="s">
        <v>34</v>
      </c>
      <c r="D15" s="3" t="s">
        <v>115</v>
      </c>
      <c r="E15" s="8"/>
      <c r="F15" s="8"/>
    </row>
    <row r="16" spans="1:10" s="1" customFormat="1" ht="28.8">
      <c r="A16" s="31"/>
      <c r="B16" s="5">
        <v>9</v>
      </c>
      <c r="C16" s="8" t="s">
        <v>79</v>
      </c>
      <c r="D16" s="3" t="s">
        <v>115</v>
      </c>
      <c r="E16" s="8"/>
      <c r="F16" s="8"/>
    </row>
    <row r="17" spans="1:10" s="1" customFormat="1" ht="14.4">
      <c r="A17" s="31"/>
      <c r="B17" s="23">
        <v>10</v>
      </c>
      <c r="C17" s="24" t="s">
        <v>76</v>
      </c>
      <c r="D17" s="3" t="s">
        <v>116</v>
      </c>
      <c r="E17" s="8"/>
      <c r="F17" s="8"/>
    </row>
    <row r="18" spans="1:10" s="1" customFormat="1" ht="14.4">
      <c r="A18" s="31"/>
      <c r="B18" s="5">
        <v>11</v>
      </c>
      <c r="C18" s="8" t="s">
        <v>75</v>
      </c>
      <c r="D18" s="3" t="s">
        <v>115</v>
      </c>
      <c r="E18" s="8"/>
      <c r="F18" s="8"/>
    </row>
    <row r="19" spans="1:10" ht="14.4">
      <c r="A19" s="31"/>
      <c r="B19" s="9"/>
      <c r="C19" s="10" t="s">
        <v>97</v>
      </c>
      <c r="D19" s="12"/>
      <c r="E19" s="12"/>
      <c r="F19" s="12"/>
      <c r="G19">
        <f>COUNTIF(D20:D21,"Sim")</f>
        <v>0</v>
      </c>
      <c r="H19">
        <f>COUNTIF(D20:D21,"Parcialmente")</f>
        <v>0</v>
      </c>
      <c r="I19">
        <f>COUNTIF(D20:D21,"Não")</f>
        <v>0</v>
      </c>
      <c r="J19">
        <f>COUNTIF(D20:D21,"NA")</f>
        <v>2</v>
      </c>
    </row>
    <row r="20" spans="1:10" ht="14.4">
      <c r="A20" s="31"/>
      <c r="B20" s="23">
        <v>12</v>
      </c>
      <c r="C20" s="24" t="s">
        <v>78</v>
      </c>
      <c r="D20" s="3" t="s">
        <v>116</v>
      </c>
      <c r="E20" s="8"/>
      <c r="F20" s="8"/>
    </row>
    <row r="21" spans="1:10" ht="28.8">
      <c r="A21" s="31"/>
      <c r="B21" s="5">
        <v>13</v>
      </c>
      <c r="C21" s="8" t="s">
        <v>80</v>
      </c>
      <c r="D21" s="3" t="s">
        <v>116</v>
      </c>
      <c r="E21" s="8"/>
      <c r="F21" s="8"/>
    </row>
    <row r="22" spans="1:10" ht="14.4">
      <c r="A22" s="31"/>
      <c r="B22" s="9"/>
      <c r="C22" s="10" t="s">
        <v>4</v>
      </c>
      <c r="D22" s="12"/>
      <c r="E22" s="12"/>
      <c r="F22" s="12"/>
      <c r="G22">
        <f>COUNTIF(D23:D24,"Sim")</f>
        <v>0</v>
      </c>
      <c r="H22">
        <f>COUNTIF(D23:D24,"Parcialmente")</f>
        <v>0</v>
      </c>
      <c r="I22">
        <f>COUNTIF(D23:D24,"Não")</f>
        <v>0</v>
      </c>
      <c r="J22">
        <f>COUNTIF(D23:D24,"NA")</f>
        <v>2</v>
      </c>
    </row>
    <row r="23" spans="1:10" ht="14.4">
      <c r="A23" s="31"/>
      <c r="B23" s="23">
        <v>14</v>
      </c>
      <c r="C23" s="24" t="s">
        <v>72</v>
      </c>
      <c r="D23" s="3" t="s">
        <v>116</v>
      </c>
      <c r="E23" s="8"/>
      <c r="F23" s="8"/>
    </row>
    <row r="24" spans="1:10" ht="14.4">
      <c r="A24" s="31"/>
      <c r="B24" s="5">
        <v>15</v>
      </c>
      <c r="C24" s="8" t="s">
        <v>35</v>
      </c>
      <c r="D24" s="3" t="s">
        <v>116</v>
      </c>
      <c r="E24" s="8"/>
      <c r="F24" s="8"/>
    </row>
    <row r="25" spans="1:10" ht="14.4">
      <c r="A25" s="31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2</v>
      </c>
    </row>
    <row r="26" spans="1:10" ht="14.4">
      <c r="A26" s="31"/>
      <c r="B26" s="23">
        <v>16</v>
      </c>
      <c r="C26" s="24" t="s">
        <v>72</v>
      </c>
      <c r="D26" s="3" t="s">
        <v>116</v>
      </c>
      <c r="E26" s="8"/>
      <c r="F26" s="8"/>
    </row>
    <row r="27" spans="1:10" ht="14.4">
      <c r="A27" s="31"/>
      <c r="B27" s="5">
        <v>17</v>
      </c>
      <c r="C27" s="8" t="s">
        <v>37</v>
      </c>
      <c r="D27" s="3" t="s">
        <v>116</v>
      </c>
      <c r="E27" s="8"/>
      <c r="F27" s="8"/>
    </row>
    <row r="28" spans="1:10" ht="14.4">
      <c r="A28" s="31"/>
      <c r="B28" s="9"/>
      <c r="C28" s="10" t="s">
        <v>13</v>
      </c>
      <c r="D28" s="12"/>
      <c r="E28" s="12"/>
      <c r="F28" s="12"/>
      <c r="G28">
        <f>COUNTIF(D29:D36,"Sim")</f>
        <v>8</v>
      </c>
      <c r="H28">
        <f>COUNTIF(D29:D36,"Parcialmente")</f>
        <v>0</v>
      </c>
      <c r="I28">
        <f>COUNTIF(D29:D36,"Não")</f>
        <v>0</v>
      </c>
      <c r="J28">
        <f>COUNTIF(D29:D36,"NA")</f>
        <v>0</v>
      </c>
    </row>
    <row r="29" spans="1:10" ht="14.4">
      <c r="A29" s="31"/>
      <c r="B29" s="23">
        <v>21</v>
      </c>
      <c r="C29" s="24" t="s">
        <v>72</v>
      </c>
      <c r="D29" s="3" t="s">
        <v>115</v>
      </c>
      <c r="E29" s="8"/>
      <c r="F29" s="8"/>
    </row>
    <row r="30" spans="1:10" ht="14.4">
      <c r="A30" s="31"/>
      <c r="B30" s="5">
        <v>22</v>
      </c>
      <c r="C30" s="8" t="s">
        <v>41</v>
      </c>
      <c r="D30" s="3" t="s">
        <v>115</v>
      </c>
      <c r="E30" s="8"/>
      <c r="F30" s="8"/>
    </row>
    <row r="31" spans="1:10" ht="14.4">
      <c r="A31" s="31"/>
      <c r="B31" s="5">
        <v>23</v>
      </c>
      <c r="C31" s="8" t="s">
        <v>86</v>
      </c>
      <c r="D31" s="3" t="s">
        <v>115</v>
      </c>
      <c r="E31" s="8"/>
      <c r="F31" s="8"/>
    </row>
    <row r="32" spans="1:10" ht="14.4">
      <c r="A32" s="31"/>
      <c r="B32" s="5">
        <v>24</v>
      </c>
      <c r="C32" s="8" t="s">
        <v>82</v>
      </c>
      <c r="D32" s="3" t="s">
        <v>115</v>
      </c>
      <c r="E32" s="8"/>
      <c r="F32" s="8"/>
    </row>
    <row r="33" spans="1:10" ht="14.4">
      <c r="A33" s="31"/>
      <c r="B33" s="5">
        <v>25</v>
      </c>
      <c r="C33" s="8" t="s">
        <v>83</v>
      </c>
      <c r="D33" s="3" t="s">
        <v>115</v>
      </c>
      <c r="E33" s="8"/>
      <c r="F33" s="8"/>
    </row>
    <row r="34" spans="1:10" ht="14.4">
      <c r="A34" s="31"/>
      <c r="B34" s="5">
        <v>26</v>
      </c>
      <c r="C34" s="8" t="s">
        <v>87</v>
      </c>
      <c r="D34" s="3" t="s">
        <v>115</v>
      </c>
      <c r="F34" s="8"/>
    </row>
    <row r="35" spans="1:10" ht="18.75" customHeight="1">
      <c r="A35" s="31"/>
      <c r="B35" s="5">
        <v>27</v>
      </c>
      <c r="C35" s="8" t="s">
        <v>84</v>
      </c>
      <c r="D35" s="3" t="s">
        <v>115</v>
      </c>
      <c r="E35" s="8"/>
      <c r="F35" s="8"/>
    </row>
    <row r="36" spans="1:10" ht="14.4">
      <c r="A36" s="31"/>
      <c r="B36" s="5">
        <v>28</v>
      </c>
      <c r="C36" s="8" t="s">
        <v>85</v>
      </c>
      <c r="D36" s="46" t="s">
        <v>115</v>
      </c>
      <c r="E36" s="8"/>
      <c r="F36" s="8"/>
    </row>
    <row r="37" spans="1:10" ht="15" customHeight="1">
      <c r="A37" s="29" t="s">
        <v>30</v>
      </c>
      <c r="B37" s="9"/>
      <c r="C37" s="10" t="s">
        <v>56</v>
      </c>
      <c r="D37" s="12"/>
      <c r="E37" s="12"/>
      <c r="F37" s="12"/>
      <c r="G37">
        <f>COUNTIF(D38:D41,"Sim")</f>
        <v>3</v>
      </c>
      <c r="H37">
        <f>COUNTIF(D38:D41,"Parcialmente")</f>
        <v>0</v>
      </c>
      <c r="I37">
        <f>COUNTIF(D38:D41,"Não")</f>
        <v>1</v>
      </c>
      <c r="J37">
        <f>COUNTIF(D38:D41,"NA")</f>
        <v>0</v>
      </c>
    </row>
    <row r="38" spans="1:10" ht="14.4">
      <c r="A38" s="30"/>
      <c r="B38" s="23">
        <v>30</v>
      </c>
      <c r="C38" s="24" t="s">
        <v>73</v>
      </c>
      <c r="D38" s="3" t="s">
        <v>115</v>
      </c>
      <c r="E38" s="8"/>
      <c r="F38" s="8"/>
    </row>
    <row r="39" spans="1:10" ht="14.4">
      <c r="A39" s="30"/>
      <c r="B39" s="5">
        <v>31</v>
      </c>
      <c r="C39" s="8" t="s">
        <v>38</v>
      </c>
      <c r="D39" s="3" t="s">
        <v>115</v>
      </c>
      <c r="E39" s="8"/>
      <c r="F39" s="8"/>
    </row>
    <row r="40" spans="1:10" ht="14.4">
      <c r="A40" s="30"/>
      <c r="B40" s="5">
        <v>32</v>
      </c>
      <c r="C40" s="8" t="s">
        <v>39</v>
      </c>
      <c r="D40" s="3" t="s">
        <v>115</v>
      </c>
      <c r="E40" s="8"/>
      <c r="F40" s="8"/>
    </row>
    <row r="41" spans="1:10" ht="20.25" customHeight="1">
      <c r="A41" s="30"/>
      <c r="B41" s="5">
        <v>33</v>
      </c>
      <c r="C41" s="8" t="s">
        <v>42</v>
      </c>
      <c r="D41" s="3" t="s">
        <v>114</v>
      </c>
      <c r="E41" s="8" t="s">
        <v>117</v>
      </c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68" style="2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COUNTIF(D5:D41,"Sim")/(COUNTA(D5:D42)-COUNTIF(D5:D42,"NA"))</f>
        <v>#DIV/0!</v>
      </c>
    </row>
    <row r="3" spans="1:10" ht="15" thickBot="1">
      <c r="A3" s="33" t="s">
        <v>26</v>
      </c>
      <c r="B3" s="33"/>
      <c r="C3" s="13"/>
      <c r="D3" s="43" t="s">
        <v>43</v>
      </c>
      <c r="E3" s="44"/>
      <c r="F3" s="45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4.4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1"/>
      <c r="B7" s="9"/>
      <c r="C7" s="10" t="s">
        <v>3</v>
      </c>
      <c r="D7" s="12"/>
      <c r="E7" s="12"/>
      <c r="F7" s="12"/>
    </row>
    <row r="8" spans="1:10" s="1" customFormat="1" ht="28.8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28.8">
      <c r="A9" s="31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4.4">
      <c r="A10" s="31"/>
      <c r="B10" s="9"/>
      <c r="C10" s="10" t="s">
        <v>97</v>
      </c>
      <c r="D10" s="12"/>
      <c r="E10" s="12"/>
      <c r="F10" s="12"/>
    </row>
    <row r="11" spans="1:10" ht="28.8">
      <c r="A11" s="31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28.8">
      <c r="A12" s="31"/>
      <c r="B12" s="23">
        <v>5</v>
      </c>
      <c r="C12" s="24" t="s">
        <v>81</v>
      </c>
      <c r="D12" s="3"/>
      <c r="E12" s="8"/>
      <c r="F12" s="8"/>
    </row>
    <row r="13" spans="1:10" ht="14.4">
      <c r="A13" s="31"/>
      <c r="B13" s="5">
        <v>6</v>
      </c>
      <c r="C13" s="8" t="s">
        <v>45</v>
      </c>
      <c r="D13" s="3"/>
      <c r="E13" s="8"/>
      <c r="F13" s="8"/>
    </row>
    <row r="14" spans="1:10" ht="28.8">
      <c r="A14" s="31"/>
      <c r="B14" s="5">
        <v>7</v>
      </c>
      <c r="C14" s="8" t="s">
        <v>47</v>
      </c>
      <c r="D14" s="3"/>
      <c r="E14" s="8"/>
      <c r="F14" s="8"/>
    </row>
    <row r="15" spans="1:10" ht="14.4">
      <c r="A15" s="31"/>
      <c r="B15" s="9"/>
      <c r="C15" s="10" t="s">
        <v>4</v>
      </c>
      <c r="D15" s="12"/>
      <c r="E15" s="12"/>
      <c r="F15" s="12"/>
    </row>
    <row r="16" spans="1:10" ht="14.4">
      <c r="A16" s="31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18</v>
      </c>
      <c r="B17" s="9"/>
      <c r="C17" s="10" t="s">
        <v>5</v>
      </c>
      <c r="D17" s="11"/>
      <c r="E17" s="12"/>
      <c r="F17" s="12"/>
    </row>
    <row r="18" spans="1:10" ht="28.8">
      <c r="A18" s="31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28.8">
      <c r="A19" s="31"/>
      <c r="B19" s="23">
        <v>10</v>
      </c>
      <c r="C19" s="24" t="s">
        <v>51</v>
      </c>
      <c r="D19" s="3"/>
      <c r="E19" s="8"/>
      <c r="F19" s="8"/>
    </row>
    <row r="20" spans="1:10" s="1" customFormat="1" ht="28.8">
      <c r="A20" s="31"/>
      <c r="B20" s="5">
        <v>11</v>
      </c>
      <c r="C20" s="8" t="s">
        <v>61</v>
      </c>
      <c r="D20" s="3"/>
      <c r="E20" s="8"/>
      <c r="F20" s="8"/>
    </row>
    <row r="21" spans="1:10" ht="28.8">
      <c r="A21" s="31"/>
      <c r="B21" s="5">
        <v>12</v>
      </c>
      <c r="C21" s="8" t="s">
        <v>74</v>
      </c>
      <c r="D21" s="3"/>
      <c r="E21" s="8"/>
      <c r="F21" s="8"/>
    </row>
    <row r="22" spans="1:10" ht="14.4">
      <c r="A22" s="34" t="s">
        <v>19</v>
      </c>
      <c r="B22" s="9"/>
      <c r="C22" s="10" t="s">
        <v>6</v>
      </c>
      <c r="D22" s="11"/>
      <c r="E22" s="12"/>
      <c r="F22" s="12"/>
    </row>
    <row r="23" spans="1:10" ht="28.8">
      <c r="A23" s="31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28.8">
      <c r="A24" s="31"/>
      <c r="B24" s="5">
        <v>18</v>
      </c>
      <c r="C24" s="8" t="s">
        <v>50</v>
      </c>
      <c r="D24" s="3"/>
      <c r="E24" s="8"/>
      <c r="F24" s="8"/>
    </row>
    <row r="25" spans="1:10" ht="28.8">
      <c r="A25" s="31"/>
      <c r="B25" s="5">
        <v>19</v>
      </c>
      <c r="C25" s="8" t="s">
        <v>99</v>
      </c>
      <c r="D25" s="3"/>
      <c r="E25" s="8"/>
      <c r="F25" s="8"/>
    </row>
    <row r="26" spans="1:10" ht="14.4">
      <c r="A26" s="31"/>
      <c r="B26" s="5">
        <v>21</v>
      </c>
      <c r="C26" s="8" t="s">
        <v>100</v>
      </c>
      <c r="D26" s="3"/>
      <c r="E26" s="8"/>
      <c r="F26" s="8"/>
    </row>
    <row r="27" spans="1:10" ht="14.4">
      <c r="A27" s="31"/>
      <c r="B27" s="5">
        <v>22</v>
      </c>
      <c r="C27" s="8" t="s">
        <v>101</v>
      </c>
      <c r="D27" s="3"/>
      <c r="E27" s="8"/>
      <c r="F27" s="8"/>
    </row>
    <row r="28" spans="1:10" ht="14.4">
      <c r="A28" s="42" t="s">
        <v>11</v>
      </c>
      <c r="B28" s="9"/>
      <c r="C28" s="10" t="s">
        <v>13</v>
      </c>
      <c r="D28" s="11"/>
      <c r="E28" s="12"/>
      <c r="F28" s="12"/>
    </row>
    <row r="29" spans="1:10" ht="14.4">
      <c r="A29" s="42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4.4">
      <c r="A30" s="42"/>
      <c r="B30" s="5">
        <v>24</v>
      </c>
      <c r="C30" s="8" t="s">
        <v>89</v>
      </c>
      <c r="D30" s="3"/>
      <c r="E30" s="8"/>
      <c r="F30" s="8"/>
    </row>
    <row r="31" spans="1:10" ht="28.8">
      <c r="A31" s="42"/>
      <c r="B31" s="5">
        <v>25</v>
      </c>
      <c r="C31" s="8" t="s">
        <v>52</v>
      </c>
      <c r="D31" s="3"/>
      <c r="E31" s="8"/>
      <c r="F31" s="8"/>
    </row>
    <row r="32" spans="1:10" ht="14.4">
      <c r="A32" s="42"/>
      <c r="B32" s="5">
        <v>26</v>
      </c>
      <c r="C32" s="8" t="s">
        <v>88</v>
      </c>
      <c r="D32" s="3"/>
      <c r="E32" s="8"/>
      <c r="F32" s="8"/>
    </row>
    <row r="33" spans="1:10" ht="14.4">
      <c r="A33" s="42"/>
      <c r="B33" s="5">
        <v>27</v>
      </c>
      <c r="C33" s="8" t="s">
        <v>54</v>
      </c>
      <c r="D33" s="3"/>
      <c r="E33" s="8"/>
      <c r="F33" s="8"/>
    </row>
    <row r="34" spans="1:10" ht="14.4">
      <c r="A34" s="42"/>
      <c r="B34" s="5">
        <v>28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28.8">
      <c r="A36" s="30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30"/>
      <c r="B37" s="5">
        <v>30</v>
      </c>
      <c r="C37" s="8" t="s">
        <v>39</v>
      </c>
      <c r="D37" s="3"/>
      <c r="E37" s="8"/>
      <c r="F37" s="8"/>
    </row>
    <row r="38" spans="1:10" ht="28.8">
      <c r="A38" s="30"/>
      <c r="B38" s="5">
        <v>31</v>
      </c>
      <c r="C38" s="8" t="s">
        <v>42</v>
      </c>
      <c r="D38" s="3"/>
      <c r="E38" s="8"/>
      <c r="F38" s="8"/>
    </row>
    <row r="39" spans="1:10" ht="14.4">
      <c r="A39" s="30"/>
      <c r="B39" s="9"/>
      <c r="C39" s="10" t="s">
        <v>15</v>
      </c>
      <c r="D39" s="11"/>
      <c r="E39" s="12"/>
      <c r="F39" s="12"/>
    </row>
    <row r="40" spans="1:10" ht="14.4">
      <c r="A40" s="30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4.4">
      <c r="A41" s="30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9.109375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COUNTIF(D5:D42,"Sim")/(COUNTA(D5:D41)-COUNTIF(D5:D41,"NA"))</f>
        <v>#DIV/0!</v>
      </c>
    </row>
    <row r="3" spans="1:10" ht="15" thickBot="1">
      <c r="A3" s="33" t="s">
        <v>26</v>
      </c>
      <c r="B3" s="33"/>
      <c r="C3" s="13"/>
      <c r="D3" s="43" t="s">
        <v>43</v>
      </c>
      <c r="E3" s="44"/>
      <c r="F3" s="45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4.4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1"/>
      <c r="B7" s="9"/>
      <c r="C7" s="10" t="s">
        <v>3</v>
      </c>
      <c r="D7" s="12"/>
      <c r="E7" s="12"/>
      <c r="F7" s="12"/>
    </row>
    <row r="8" spans="1:10" s="1" customFormat="1" ht="28.8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31"/>
      <c r="B9" s="9"/>
      <c r="C9" s="10" t="s">
        <v>97</v>
      </c>
      <c r="D9" s="12"/>
      <c r="E9" s="12"/>
      <c r="F9" s="12"/>
    </row>
    <row r="10" spans="1:10" ht="28.8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31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1"/>
      <c r="B12" s="5">
        <v>5</v>
      </c>
      <c r="C12" s="8" t="s">
        <v>45</v>
      </c>
      <c r="D12" s="3"/>
      <c r="E12" s="8"/>
      <c r="F12" s="8"/>
    </row>
    <row r="13" spans="1:10" ht="14.4">
      <c r="A13" s="31"/>
      <c r="B13" s="9"/>
      <c r="C13" s="10" t="s">
        <v>4</v>
      </c>
      <c r="D13" s="12"/>
      <c r="E13" s="12"/>
      <c r="F13" s="12"/>
    </row>
    <row r="14" spans="1:10" ht="14.4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4.4">
      <c r="A16" s="31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4.4">
      <c r="A17" s="34" t="s">
        <v>19</v>
      </c>
      <c r="B17" s="9"/>
      <c r="C17" s="10" t="s">
        <v>6</v>
      </c>
      <c r="D17" s="11"/>
      <c r="E17" s="12"/>
      <c r="F17" s="12"/>
    </row>
    <row r="18" spans="1:10" ht="14.4">
      <c r="A18" s="31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28.8">
      <c r="A19" s="31"/>
      <c r="B19" s="5">
        <v>13</v>
      </c>
      <c r="C19" s="8" t="s">
        <v>50</v>
      </c>
      <c r="D19" s="3"/>
      <c r="E19" s="8"/>
      <c r="F19" s="8"/>
    </row>
    <row r="20" spans="1:10" ht="28.8">
      <c r="A20" s="31"/>
      <c r="B20" s="5">
        <v>14</v>
      </c>
      <c r="C20" s="8" t="s">
        <v>99</v>
      </c>
      <c r="D20" s="3"/>
      <c r="E20" s="8"/>
      <c r="F20" s="8"/>
    </row>
    <row r="21" spans="1:10" ht="14.4">
      <c r="A21" s="31"/>
      <c r="B21" s="5">
        <v>15</v>
      </c>
      <c r="C21" s="8" t="s">
        <v>100</v>
      </c>
      <c r="D21" s="3"/>
      <c r="E21" s="8"/>
      <c r="F21" s="8"/>
    </row>
    <row r="22" spans="1:10" ht="14.4">
      <c r="A22" s="31"/>
      <c r="B22" s="5">
        <v>16</v>
      </c>
      <c r="C22" s="8" t="s">
        <v>101</v>
      </c>
      <c r="D22" s="3"/>
      <c r="E22" s="8"/>
      <c r="F22" s="8"/>
    </row>
    <row r="23" spans="1:10" ht="14.4">
      <c r="A23" s="34" t="s">
        <v>20</v>
      </c>
      <c r="B23" s="9"/>
      <c r="C23" s="10" t="s">
        <v>8</v>
      </c>
      <c r="D23" s="11"/>
      <c r="E23" s="12"/>
      <c r="F23" s="12"/>
    </row>
    <row r="24" spans="1:10" ht="28.8">
      <c r="A24" s="31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28.8">
      <c r="A25" s="31"/>
      <c r="B25" s="5">
        <v>18</v>
      </c>
      <c r="C25" s="8" t="s">
        <v>57</v>
      </c>
      <c r="D25" s="3"/>
      <c r="E25" s="8"/>
      <c r="F25" s="8"/>
    </row>
    <row r="26" spans="1:10" ht="14.4">
      <c r="A26" s="31"/>
      <c r="B26" s="5">
        <v>19</v>
      </c>
      <c r="C26" s="8" t="s">
        <v>58</v>
      </c>
      <c r="D26" s="3"/>
      <c r="E26" s="8"/>
      <c r="F26" s="8"/>
    </row>
    <row r="27" spans="1:10" ht="14.4">
      <c r="A27" s="31"/>
      <c r="B27" s="5">
        <v>21</v>
      </c>
      <c r="C27" s="8" t="s">
        <v>59</v>
      </c>
      <c r="D27" s="3"/>
      <c r="E27" s="8"/>
      <c r="F27" s="8"/>
    </row>
    <row r="28" spans="1:10" ht="14.4">
      <c r="A28" s="31"/>
      <c r="B28" s="5">
        <v>22</v>
      </c>
      <c r="C28" s="8" t="s">
        <v>103</v>
      </c>
      <c r="D28" s="3"/>
      <c r="E28" s="8"/>
      <c r="F28" s="8"/>
    </row>
    <row r="29" spans="1:10" ht="14.4">
      <c r="A29" s="42" t="s">
        <v>11</v>
      </c>
      <c r="B29" s="9"/>
      <c r="C29" s="10" t="s">
        <v>13</v>
      </c>
      <c r="D29" s="11"/>
      <c r="E29" s="12"/>
      <c r="F29" s="12"/>
    </row>
    <row r="30" spans="1:10" ht="14.4">
      <c r="A30" s="42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28.8">
      <c r="A31" s="42"/>
      <c r="B31" s="5">
        <v>26</v>
      </c>
      <c r="C31" s="8" t="s">
        <v>104</v>
      </c>
      <c r="D31" s="3"/>
      <c r="E31" s="8"/>
      <c r="F31" s="8"/>
    </row>
    <row r="32" spans="1:10" ht="14.4">
      <c r="A32" s="42"/>
      <c r="B32" s="5">
        <v>27</v>
      </c>
      <c r="C32" s="8" t="s">
        <v>53</v>
      </c>
      <c r="D32" s="3"/>
      <c r="E32" s="8"/>
      <c r="F32" s="8"/>
    </row>
    <row r="33" spans="1:10" ht="14.4">
      <c r="A33" s="42"/>
      <c r="B33" s="5">
        <v>28</v>
      </c>
      <c r="C33" s="8" t="s">
        <v>54</v>
      </c>
      <c r="D33" s="3"/>
      <c r="E33" s="8"/>
      <c r="F33" s="8"/>
    </row>
    <row r="34" spans="1:10" ht="14.4">
      <c r="A34" s="42"/>
      <c r="B34" s="5">
        <v>29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28.8">
      <c r="A36" s="30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30"/>
      <c r="B37" s="5">
        <v>31</v>
      </c>
      <c r="C37" s="8" t="s">
        <v>39</v>
      </c>
      <c r="D37" s="3"/>
      <c r="E37" s="8"/>
      <c r="F37" s="8"/>
    </row>
    <row r="38" spans="1:10" ht="28.8">
      <c r="A38" s="30"/>
      <c r="B38" s="5">
        <v>32</v>
      </c>
      <c r="C38" s="8" t="s">
        <v>42</v>
      </c>
      <c r="D38" s="3"/>
      <c r="E38" s="8"/>
      <c r="F38" s="8"/>
    </row>
    <row r="39" spans="1:10" ht="14.4">
      <c r="A39" s="30"/>
      <c r="B39" s="5"/>
      <c r="C39" s="8" t="s">
        <v>105</v>
      </c>
      <c r="D39" s="3"/>
      <c r="E39" s="8"/>
      <c r="F39" s="8"/>
    </row>
    <row r="40" spans="1:10" ht="14.4">
      <c r="A40" s="30"/>
      <c r="B40" s="9"/>
      <c r="C40" s="10" t="s">
        <v>15</v>
      </c>
      <c r="D40" s="11"/>
      <c r="E40" s="12"/>
      <c r="F40" s="12"/>
    </row>
    <row r="41" spans="1:10" ht="14.4">
      <c r="A41" s="30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4.4">
      <c r="A42" s="30"/>
      <c r="B42" s="5">
        <v>34</v>
      </c>
      <c r="C42" s="8" t="s">
        <v>107</v>
      </c>
      <c r="D42" s="3"/>
      <c r="E42" s="8"/>
      <c r="F42" s="8"/>
    </row>
    <row r="51" spans="2:3" ht="14.4">
      <c r="B51"/>
      <c r="C51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</sheetData>
  <mergeCells count="11">
    <mergeCell ref="A5:A14"/>
    <mergeCell ref="A15:A16"/>
    <mergeCell ref="A17:A22"/>
    <mergeCell ref="A29:A34"/>
    <mergeCell ref="A35:A42"/>
    <mergeCell ref="A23:A28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topLeftCell="A28"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COUNTIF(D5:D43,"Sim")/(COUNTA(D5:D43)-COUNTIF(D5:D43,"NA"))</f>
        <v>#DIV/0!</v>
      </c>
    </row>
    <row r="3" spans="1:10" ht="15" thickBot="1">
      <c r="A3" s="33" t="s">
        <v>26</v>
      </c>
      <c r="B3" s="33"/>
      <c r="C3" s="13"/>
      <c r="D3" s="43" t="s">
        <v>43</v>
      </c>
      <c r="E3" s="44"/>
      <c r="F3" s="45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4.4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31"/>
      <c r="B7" s="9"/>
      <c r="C7" s="10" t="s">
        <v>3</v>
      </c>
      <c r="D7" s="12"/>
      <c r="E7" s="12"/>
      <c r="F7" s="12"/>
    </row>
    <row r="8" spans="1:10" s="1" customFormat="1" ht="28.8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31"/>
      <c r="B9" s="9"/>
      <c r="C9" s="10" t="s">
        <v>14</v>
      </c>
      <c r="D9" s="12"/>
      <c r="E9" s="12"/>
      <c r="F9" s="12"/>
    </row>
    <row r="10" spans="1:10" ht="28.8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31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1"/>
      <c r="B12" s="5">
        <v>5</v>
      </c>
      <c r="C12" s="8" t="s">
        <v>45</v>
      </c>
      <c r="D12" s="3"/>
      <c r="E12" s="8"/>
      <c r="F12" s="8"/>
    </row>
    <row r="13" spans="1:10" ht="14.4">
      <c r="A13" s="31"/>
      <c r="B13" s="9"/>
      <c r="C13" s="10" t="s">
        <v>4</v>
      </c>
      <c r="D13" s="12"/>
      <c r="E13" s="12"/>
      <c r="F13" s="12"/>
    </row>
    <row r="14" spans="1:10" ht="14.4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4.4">
      <c r="A16" s="31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19</v>
      </c>
      <c r="B17" s="9"/>
      <c r="C17" s="10" t="s">
        <v>6</v>
      </c>
      <c r="D17" s="11"/>
      <c r="E17" s="12"/>
      <c r="F17" s="12"/>
    </row>
    <row r="18" spans="1:10" ht="14.4">
      <c r="A18" s="31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4.4">
      <c r="A19" s="31"/>
      <c r="B19" s="5">
        <v>10</v>
      </c>
      <c r="C19" s="8" t="s">
        <v>64</v>
      </c>
      <c r="D19" s="3"/>
      <c r="E19" s="8"/>
      <c r="F19" s="8"/>
    </row>
    <row r="20" spans="1:10" ht="28.8">
      <c r="A20" s="31"/>
      <c r="B20" s="5">
        <v>11</v>
      </c>
      <c r="C20" s="8" t="s">
        <v>99</v>
      </c>
      <c r="D20" s="3"/>
      <c r="E20" s="8"/>
      <c r="F20" s="8"/>
    </row>
    <row r="21" spans="1:10" ht="14.4">
      <c r="A21" s="35"/>
      <c r="B21" s="5">
        <v>13</v>
      </c>
      <c r="C21" s="8" t="s">
        <v>49</v>
      </c>
      <c r="D21" s="3"/>
      <c r="E21" s="8"/>
      <c r="F21" s="8"/>
    </row>
    <row r="22" spans="1:10" ht="14.4">
      <c r="A22" s="34" t="s">
        <v>20</v>
      </c>
      <c r="B22" s="9"/>
      <c r="C22" s="10" t="s">
        <v>8</v>
      </c>
      <c r="D22" s="11"/>
      <c r="E22" s="12"/>
      <c r="F22" s="12"/>
    </row>
    <row r="23" spans="1:10" ht="14.4">
      <c r="A23" s="31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4.4">
      <c r="A24" s="31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4" t="s">
        <v>21</v>
      </c>
      <c r="B25" s="9"/>
      <c r="C25" s="10" t="s">
        <v>9</v>
      </c>
      <c r="D25" s="11"/>
      <c r="E25" s="12"/>
      <c r="F25" s="12"/>
    </row>
    <row r="26" spans="1:10" s="1" customFormat="1" ht="28.8">
      <c r="A26" s="31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3.2">
      <c r="A27" s="31"/>
      <c r="B27" s="5">
        <v>25</v>
      </c>
      <c r="C27" s="8" t="s">
        <v>62</v>
      </c>
      <c r="D27" s="3"/>
      <c r="E27" s="8"/>
      <c r="F27" s="8"/>
    </row>
    <row r="28" spans="1:10" ht="14.4">
      <c r="A28" s="31"/>
      <c r="B28" s="9"/>
      <c r="C28" s="10" t="s">
        <v>10</v>
      </c>
      <c r="D28" s="11"/>
      <c r="E28" s="12"/>
      <c r="F28" s="12"/>
    </row>
    <row r="29" spans="1:10" ht="28.8">
      <c r="A29" s="31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4.4">
      <c r="A30" s="42" t="s">
        <v>11</v>
      </c>
      <c r="B30" s="9"/>
      <c r="C30" s="10" t="s">
        <v>13</v>
      </c>
      <c r="D30" s="11"/>
      <c r="E30" s="12"/>
      <c r="F30" s="12"/>
    </row>
    <row r="31" spans="1:10" ht="14.4">
      <c r="A31" s="42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28.8">
      <c r="A32" s="42"/>
      <c r="B32" s="5">
        <v>20</v>
      </c>
      <c r="C32" s="8" t="s">
        <v>104</v>
      </c>
      <c r="D32" s="3"/>
      <c r="E32" s="8"/>
      <c r="F32" s="8"/>
    </row>
    <row r="33" spans="1:10" ht="14.4">
      <c r="A33" s="42"/>
      <c r="B33" s="5">
        <v>21</v>
      </c>
      <c r="C33" s="8" t="s">
        <v>53</v>
      </c>
      <c r="D33" s="3"/>
      <c r="E33" s="8"/>
      <c r="F33" s="8"/>
    </row>
    <row r="34" spans="1:10" ht="14.4">
      <c r="A34" s="42"/>
      <c r="B34" s="5">
        <v>24</v>
      </c>
      <c r="C34" s="8" t="s">
        <v>113</v>
      </c>
      <c r="D34" s="3"/>
      <c r="E34" s="8"/>
      <c r="F34" s="8"/>
    </row>
    <row r="35" spans="1:10" ht="14.4">
      <c r="A35" s="42"/>
      <c r="B35" s="5">
        <v>25</v>
      </c>
      <c r="C35" s="8" t="s">
        <v>55</v>
      </c>
      <c r="D35" s="3"/>
      <c r="E35" s="8"/>
      <c r="F35" s="8"/>
    </row>
    <row r="36" spans="1:10" ht="15" customHeight="1">
      <c r="A36" s="29" t="s">
        <v>30</v>
      </c>
      <c r="B36" s="9"/>
      <c r="C36" s="10" t="s">
        <v>56</v>
      </c>
      <c r="D36" s="11"/>
      <c r="E36" s="12"/>
      <c r="F36" s="12"/>
    </row>
    <row r="37" spans="1:10" ht="28.8">
      <c r="A37" s="30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4.4">
      <c r="A38" s="30"/>
      <c r="B38" s="5">
        <v>27</v>
      </c>
      <c r="C38" s="8" t="s">
        <v>39</v>
      </c>
      <c r="D38" s="3"/>
      <c r="E38" s="8"/>
      <c r="F38" s="8"/>
    </row>
    <row r="39" spans="1:10" ht="28.8">
      <c r="A39" s="30"/>
      <c r="B39" s="5">
        <v>28</v>
      </c>
      <c r="C39" s="8" t="s">
        <v>42</v>
      </c>
      <c r="D39" s="3"/>
      <c r="E39" s="8"/>
      <c r="F39" s="8"/>
    </row>
    <row r="40" spans="1:10" ht="14.4">
      <c r="A40" s="30"/>
      <c r="B40" s="5"/>
      <c r="C40" s="8" t="s">
        <v>105</v>
      </c>
      <c r="D40" s="3"/>
      <c r="E40" s="8"/>
      <c r="F40" s="8"/>
    </row>
    <row r="41" spans="1:10" ht="14.4">
      <c r="A41" s="30"/>
      <c r="B41" s="9"/>
      <c r="C41" s="10" t="s">
        <v>15</v>
      </c>
      <c r="D41" s="11"/>
      <c r="E41" s="12"/>
      <c r="F41" s="12"/>
    </row>
    <row r="42" spans="1:10" ht="14.4">
      <c r="A42" s="30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4.4">
      <c r="A43" s="30"/>
      <c r="B43" s="5">
        <v>30</v>
      </c>
      <c r="C43" s="8" t="s">
        <v>107</v>
      </c>
      <c r="D43" s="3"/>
      <c r="E43" s="8"/>
      <c r="F43" s="8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  <row r="58" spans="2:3" ht="14.4">
      <c r="B58"/>
      <c r="C58"/>
    </row>
  </sheetData>
  <mergeCells count="12">
    <mergeCell ref="A22:A24"/>
    <mergeCell ref="A30:A35"/>
    <mergeCell ref="A36:A43"/>
    <mergeCell ref="A17:A21"/>
    <mergeCell ref="A25:A29"/>
    <mergeCell ref="A5:A14"/>
    <mergeCell ref="A15:A16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2026-08-25T04:02:09Z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