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B0EB288C-68B1-4AB8-A090-6EB4E34D0C9E}" xr6:coauthVersionLast="47" xr6:coauthVersionMax="47" xr10:uidLastSave="{00000000-0000-0000-0000-000000000000}"/>
  <bookViews>
    <workbookView xWindow="-19310" yWindow="-110" windowWidth="19420" windowHeight="11020" tabRatio="666" activeTab="3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O37" i="8" s="1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P36" i="8" l="1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<sst xmlns="http://schemas.openxmlformats.org/spreadsheetml/2006/main" count="354" uniqueCount="123">
  <si>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</si>
  <si>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</si>
  <si>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</si>
  <si>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</si>
  <si>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</si>
  <si>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</si>
  <si>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</si>
  <si>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</si>
  <si>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</si>
  <si>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</si>
  <si>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</si>
  <si>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</si>
  <si>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</si>
  <si>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</si>
  <si>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</si>
  <si>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</si>
  <si>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</si>
  <si>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</si>
  <si>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</si>
  <si>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</si>
  <si>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</si>
  <si>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</si>
  <si>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</si>
  <si>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</si>
  <si>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</si>
  <si>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</si>
  <si>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</si>
  <si>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</si>
  <si>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</si>
  <si>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</si>
  <si>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</si>
  <si>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</si>
  <si>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</si>
  <si>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</si>
  <si>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</si>
  <si>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</si>
  <si>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</si>
  <si>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</si>
  <si>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</si>
  <si>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</si>
  <si>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</si>
  <si>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</si>
  <si>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</si>
  <si>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</si>
  <si>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</si>
  <si>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</si>
  <si>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</si>
  <si>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</si>
  <si>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</si>
  <si>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</si>
  <si>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</si>
  <si>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</si>
  <si>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</si>
  <si>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</si>
  <si>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</si>
  <si>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</si>
  <si>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</si>
  <si>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</si>
  <si>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</si>
  <si>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</si>
  <si>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</si>
  <si>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</si>
  <si>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</si>
  <si>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</si>
  <si>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</si>
  <si>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</si>
  <si>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</si>
  <si>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</si>
  <si>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</si>
  <si>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</si>
  <si>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</si>
  <si>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</si>
  <si>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</si>
  <si>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</si>
  <si>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</si>
  <si>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</si>
  <si>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</si>
  <si>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</si>
  <si>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</si>
  <si>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</si>
  <si>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</si>
  <si>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</si>
  <si>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</si>
  <si>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</si>
  <si>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</si>
  <si>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</si>
  <si>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</si>
  <si>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</si>
  <si>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</si>
  <si>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</si>
  <si>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</si>
  <si>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</si>
  <si>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</si>
  <si>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</si>
  <si>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</si>
  <si>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</si>
  <si>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</si>
  <si>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</si>
  <si>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</si>
  <si>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</si>
  <si>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</si>
  <si>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</si>
  <si>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</si>
  <si>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</si>
  <si>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</si>
  <si>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</si>
  <si>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</si>
  <si>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</si>
  <si>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</si>
  <si>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</si>
  <si>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</si>
  <si>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</si>
  <si>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</si>
  <si>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</si>
  <si>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Não</t>
  </si>
  <si>
    <t>Sim</t>
  </si>
  <si>
    <t>NA</t>
  </si>
  <si>
    <t>Nunca foram atualizados</t>
  </si>
  <si>
    <t>Fábio Adriano Silveira</t>
  </si>
  <si>
    <t>Parcialmente</t>
  </si>
  <si>
    <t>Implementação e testes desenvolvidos, testes não registrados</t>
  </si>
  <si>
    <t>Modelo de Implementação não definido</t>
  </si>
  <si>
    <t>Executados mas não 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</si>
</sst>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14" fontId="0" fillId="0" borderId="1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0.95238095238095233</c:v>
                </c:pt>
                <c:pt idx="1">
                  <c:v>0.76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0.6</c:v>
                </c:pt>
                <c:pt idx="8">
                  <c:v>0.66666666666666663</c:v>
                </c:pt>
                <c:pt idx="9">
                  <c:v>1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0.4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5" sqref="F5"/>
    </sheetView>
  </sheetViews>
  <sheetFormatPr defaultRowHeight="14.4"/>
  <cols>
    <col min="1" max="1" width="24.33203125" bestFit="1" customWidth="1"/>
    <col min="2" max="2" width="39" style="17" customWidth="1"/>
  </cols>
  <sheetData>
    <row r="1" spans="1:2" ht="18">
      <c r="A1" s="42" t="s">
        <v>70</v>
      </c>
      <c r="B1" s="42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0.95238095238095233</v>
      </c>
    </row>
    <row r="4" spans="1:2">
      <c r="A4" s="18" t="s">
        <v>66</v>
      </c>
      <c r="B4" s="20">
        <f>'Ver-Elaboração1'!$F$2</f>
        <v>0.76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4.4"/>
  <cols>
    <col min="1" max="1" width="18.33203125" customWidth="1"/>
    <col min="2" max="2" width="8.109375" customWidth="1"/>
    <col min="3" max="3" width="17.109375" bestFit="1" customWidth="1"/>
    <col min="4" max="4" width="6.88671875" customWidth="1"/>
    <col min="5" max="5" width="6.44140625" customWidth="1"/>
    <col min="6" max="6" width="6.88671875" customWidth="1"/>
    <col min="14" max="14" width="13.109375" customWidth="1"/>
    <col min="16" max="16" width="11.332031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>
        <f>('Ver-Elaboração1'!$G$6/SUM('Ver-Elaboração1'!$G$6:'Ver-Elaboração1'!$J$6))</f>
        <v>1</v>
      </c>
      <c r="P2" s="25">
        <f>('Ver-Elaboração1'!$H$6/SUM('Ver-Elaboração1'!$G$6:'Ver-Elaboração1'!$J$6))</f>
        <v>0</v>
      </c>
      <c r="Q2" s="25">
        <f>('Ver-Elaboração1'!$I$6/SUM('Ver-Elaboração1'!$G$6:'Ver-Elaboração1'!$J$6))</f>
        <v>0</v>
      </c>
      <c r="R2" s="25">
        <f>('Ver-Elaboração1'!$J$6/SUM('Ver-Elaboração1'!$G$6:'Ver-Elaboração1'!$J$6))</f>
        <v>0</v>
      </c>
    </row>
    <row r="3" spans="1:18">
      <c r="A3" t="s">
        <v>2</v>
      </c>
      <c r="B3" s="25">
        <f>('Ver-Iniciação1'!$G$7/SUM('Ver-Iniciação1'!$G$7:'Ver-Iniciação1'!$J$7))</f>
        <v>1</v>
      </c>
      <c r="C3" s="25">
        <f>('Ver-Iniciação1'!$H$7/SUM('Ver-Iniciação1'!$G$7:'Ver-Iniciação1'!$J$7))</f>
        <v>0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>
        <f>('Ver-Elaboração1'!$G$8/SUM('Ver-Elaboração1'!$G$8:'Ver-Elaboração1'!$J$8))</f>
        <v>1</v>
      </c>
      <c r="P3" s="25">
        <f>('Ver-Elaboração1'!$H$8/SUM('Ver-Elaboração1'!$G$8:'Ver-Elaboração1'!$J$8))</f>
        <v>0</v>
      </c>
      <c r="Q3" s="25">
        <f>('Ver-Elaboração1'!$I$8/SUM('Ver-Elaboração1'!$G$8:'Ver-Elaboração1'!$J$8))</f>
        <v>0</v>
      </c>
      <c r="R3" s="25">
        <f>('Ver-Elaboração1'!$J$8/SUM('Ver-Elaboração1'!$G$8:'Ver-Elaboração1'!$J$8))</f>
        <v>0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>
        <f>('Ver-Elaboração1'!$G$11/SUM('Ver-Elaboração1'!$G$11:'Ver-Elaboração1'!$J$11))</f>
        <v>0.75</v>
      </c>
      <c r="P4" s="25">
        <f>('Ver-Elaboração1'!$H$11/SUM('Ver-Elaboração1'!$G$11:'Ver-Elaboração1'!$J$11))</f>
        <v>0.25</v>
      </c>
      <c r="Q4" s="25">
        <f>('Ver-Elaboração1'!$I$11/SUM('Ver-Elaboração1'!$G$11:'Ver-Elaboração1'!$J$11))</f>
        <v>0</v>
      </c>
      <c r="R4" s="25">
        <f>('Ver-Elaboração1'!$J$11/SUM('Ver-Elaboração1'!$G$11:'Ver-Elaboração1'!$J$11))</f>
        <v>0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1</v>
      </c>
      <c r="N5" t="s">
        <v>4</v>
      </c>
      <c r="O5" s="25">
        <f>('Ver-Elaboração1'!$G$16/SUM('Ver-Elaboração1'!$G$16:'Ver-Elaboração1'!$J$16))</f>
        <v>0</v>
      </c>
      <c r="P5" s="25">
        <f>('Ver-Elaboração1'!$H$16/SUM('Ver-Elaboração1'!$G$16:'Ver-Elaboração1'!$J$16))</f>
        <v>0</v>
      </c>
      <c r="Q5" s="25">
        <f>('Ver-Elaboração1'!$I$16/SUM('Ver-Elaboração1'!$G$16:'Ver-Elaboração1'!$J$16))</f>
        <v>0</v>
      </c>
      <c r="R5" s="25">
        <f>('Ver-Elaboração1'!$J$16/SUM('Ver-Elaboração1'!$G$16:'Ver-Elaboração1'!$J$16))</f>
        <v>1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0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1</v>
      </c>
      <c r="N7" t="s">
        <v>5</v>
      </c>
      <c r="O7" s="25">
        <f>('Ver-Elaboração1'!$G$18/SUM('Ver-Elaboração1'!$G$18:'Ver-Elaboração1'!$J$18))</f>
        <v>0.5</v>
      </c>
      <c r="P7" s="25">
        <f>('Ver-Elaboração1'!$H$18/SUM('Ver-Elaboração1'!$G$18:'Ver-Elaboração1'!$J$18))</f>
        <v>0.5</v>
      </c>
      <c r="Q7" s="25">
        <f>('Ver-Elaboração1'!$I$18/SUM('Ver-Elaboração1'!$G$18:'Ver-Elaboração1'!$J$18))</f>
        <v>0</v>
      </c>
      <c r="R7" s="25">
        <f>('Ver-Elaboração1'!$J$18/SUM('Ver-Elaboração1'!$G$18:'Ver-Elaboração1'!$J$18))</f>
        <v>0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>
        <f>('Ver-Elaboração1'!$G$23/SUM('Ver-Elaboração1'!$G$23:'Ver-Elaboração1'!$J$23))</f>
        <v>0.6</v>
      </c>
      <c r="P9" s="25">
        <f>('Ver-Elaboração1'!$H$23/SUM('Ver-Elaboração1'!$G$23:'Ver-Elaboração1'!$J$23))</f>
        <v>0.4</v>
      </c>
      <c r="Q9" s="25">
        <f>('Ver-Elaboração1'!$I$23/SUM('Ver-Elaboração1'!$G$23:'Ver-Elaboração1'!$J$23))</f>
        <v>0</v>
      </c>
      <c r="R9" s="25">
        <f>('Ver-Elaboração1'!$J$23/SUM('Ver-Elaboração1'!$G$23:'Ver-Elaboração1'!$J$23))</f>
        <v>0</v>
      </c>
    </row>
    <row r="10" spans="1:18">
      <c r="A10" t="s">
        <v>13</v>
      </c>
      <c r="B10" s="25">
        <f>('Ver-Iniciação1'!$G$28/SUM('Ver-Iniciação1'!$G$28:'Ver-Iniciação1'!$J$28))</f>
        <v>1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>
        <f>('Ver-Elaboração1'!$G$29/SUM('Ver-Elaboração1'!$G$29:'Ver-Elaboração1'!$J$29))</f>
        <v>0.66666666666666663</v>
      </c>
      <c r="P10" s="25">
        <f>('Ver-Elaboração1'!$H$29/SUM('Ver-Elaboração1'!$G$29:'Ver-Elaboração1'!$J$29))</f>
        <v>0</v>
      </c>
      <c r="Q10" s="25">
        <f>('Ver-Elaboração1'!$I$29/SUM('Ver-Elaboração1'!$G$29:'Ver-Elaboração1'!$J$29))</f>
        <v>0</v>
      </c>
      <c r="R10" s="25">
        <f>('Ver-Elaboração1'!$J$29/SUM('Ver-Elaboração1'!$G$29:'Ver-Elaboração1'!$J$29))</f>
        <v>0.33333333333333331</v>
      </c>
    </row>
    <row r="11" spans="1:18">
      <c r="A11" t="s">
        <v>56</v>
      </c>
      <c r="B11" s="25">
        <f>('Ver-Iniciação1'!$G$37/SUM('Ver-Iniciação1'!$G$37:'Ver-Iniciação1'!$J$37))</f>
        <v>0.75</v>
      </c>
      <c r="C11" s="25">
        <f>('Ver-Iniciação1'!$H$37/SUM('Ver-Iniciação1'!$G$37:'Ver-Iniciação1'!$J$37))</f>
        <v>0</v>
      </c>
      <c r="D11" s="25">
        <f>('Ver-Iniciação1'!$I$37/SUM('Ver-Iniciação1'!$G$37:'Ver-Iniciação1'!$J$37))</f>
        <v>0.25</v>
      </c>
      <c r="E11" s="25">
        <f>('Ver-Iniciação1'!$J$37/SUM('Ver-Iniciação1'!$G$37:'Ver-Iniciação1'!$J$37))</f>
        <v>0</v>
      </c>
      <c r="N11" t="s">
        <v>56</v>
      </c>
      <c r="O11" s="25">
        <f>('Ver-Elaboração1'!$G$36/SUM('Ver-Elaboração1'!$G$36:'Ver-Elaboração1'!$J$36))</f>
        <v>1</v>
      </c>
      <c r="P11" s="25">
        <f>('Ver-Elaboração1'!$H$36/SUM('Ver-Elaboração1'!$G$36:'Ver-Elaboração1'!$J$36))</f>
        <v>0</v>
      </c>
      <c r="Q11" s="25">
        <f>('Ver-Elaboração1'!$I$36/SUM('Ver-Elaboração1'!$G$36:'Ver-Elaboração1'!$J$36))</f>
        <v>0</v>
      </c>
      <c r="R11" s="25">
        <f>('Ver-Elaboração1'!$J$36/SUM('Ver-Elaboração1'!$G$36:'Ver-Elaboração1'!$J$36))</f>
        <v>0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>
        <f>('Ver-Elaboração1'!$G$40/SUM('Ver-Elaboração1'!$G$40:'Ver-Elaboração1'!$J$40))</f>
        <v>0.5</v>
      </c>
      <c r="P12" s="25">
        <f>('Ver-Elaboração1'!$H$40/SUM('Ver-Elaboração1'!$G$40:'Ver-Elaboração1'!$J$40))</f>
        <v>0.5</v>
      </c>
      <c r="Q12" s="25">
        <f>('Ver-Elaboração1'!$I$40/SUM('Ver-Elaboração1'!$G$40:'Ver-Elaboração1'!$J$40))</f>
        <v>0</v>
      </c>
      <c r="R12" s="25">
        <f>('Ver-Elaboração1'!$J$40/SUM('Ver-Elaboração1'!$G$40:'Ver-Elaboração1'!$J$40))</f>
        <v>0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zoomScaleNormal="100" workbookViewId="0">
      <selection activeCell="D36" sqref="D36"/>
    </sheetView>
  </sheetViews>
  <sheetFormatPr defaultRowHeight="17.399999999999999"/>
  <cols>
    <col min="1" max="1" width="21.109375" customWidth="1"/>
    <col min="2" max="2" width="5.33203125" style="4" customWidth="1"/>
    <col min="3" max="3" width="89.21875" style="2" bestFit="1" customWidth="1"/>
    <col min="4" max="4" width="9.88671875" bestFit="1" customWidth="1"/>
    <col min="5" max="5" width="31.88671875" customWidth="1"/>
    <col min="6" max="6" width="28" customWidth="1"/>
    <col min="7" max="7" width="4.44140625" hidden="1" customWidth="1"/>
    <col min="8" max="8" width="6.109375" hidden="1" customWidth="1"/>
    <col min="9" max="9" width="9.33203125" hidden="1" customWidth="1"/>
    <col min="10" max="10" width="6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28">
        <v>46259</v>
      </c>
      <c r="D2" s="40" t="s">
        <v>44</v>
      </c>
      <c r="E2" s="41"/>
      <c r="F2" s="21">
        <f>COUNTIF(D5:D41,"Sim")/(COUNTA(D5:D41)-COUNTIF(D5:D41,"NA"))</f>
        <v>0.95238095238095233</v>
      </c>
    </row>
    <row r="3" spans="1:10" ht="15" thickBot="1">
      <c r="A3" s="34" t="s">
        <v>26</v>
      </c>
      <c r="B3" s="34"/>
      <c r="C3" s="13" t="s">
        <v>118</v>
      </c>
      <c r="D3" s="37" t="s">
        <v>43</v>
      </c>
      <c r="E3" s="38"/>
      <c r="F3" s="39"/>
    </row>
    <row r="4" spans="1:10" ht="14.4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4.4">
      <c r="A5" s="35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4.4">
      <c r="A6" s="36"/>
      <c r="B6" s="5">
        <v>1</v>
      </c>
      <c r="C6" s="8" t="s">
        <v>33</v>
      </c>
      <c r="D6" s="3" t="s">
        <v>116</v>
      </c>
      <c r="E6" s="8"/>
      <c r="F6" s="8"/>
    </row>
    <row r="7" spans="1:10" ht="15" customHeight="1">
      <c r="A7" s="35" t="s">
        <v>17</v>
      </c>
      <c r="B7" s="9"/>
      <c r="C7" s="10" t="s">
        <v>2</v>
      </c>
      <c r="D7" s="12"/>
      <c r="E7" s="12"/>
      <c r="F7" s="12"/>
      <c r="G7">
        <f>COUNTIF(D8:D12,"Sim")</f>
        <v>5</v>
      </c>
      <c r="H7">
        <f>COUNTIF(D8:D12,"Parcialmente")</f>
        <v>0</v>
      </c>
      <c r="I7">
        <f>COUNTIF(D8:D12,"Não")</f>
        <v>0</v>
      </c>
      <c r="J7">
        <f>COUNTIF(D8:D12,"NA")</f>
        <v>0</v>
      </c>
    </row>
    <row r="8" spans="1:10" ht="15" customHeight="1">
      <c r="A8" s="32"/>
      <c r="B8" s="22">
        <v>2</v>
      </c>
      <c r="C8" s="24" t="s">
        <v>72</v>
      </c>
      <c r="D8" s="3" t="s">
        <v>115</v>
      </c>
      <c r="E8" s="8"/>
      <c r="F8" s="8"/>
    </row>
    <row r="9" spans="1:10" ht="14.4">
      <c r="A9" s="32"/>
      <c r="B9" s="5">
        <v>3</v>
      </c>
      <c r="C9" s="8" t="s">
        <v>31</v>
      </c>
      <c r="D9" s="3" t="s">
        <v>115</v>
      </c>
      <c r="E9" s="8"/>
      <c r="F9" s="8"/>
    </row>
    <row r="10" spans="1:10" ht="14.4">
      <c r="A10" s="32"/>
      <c r="B10" s="5">
        <v>4</v>
      </c>
      <c r="C10" s="8" t="s">
        <v>77</v>
      </c>
      <c r="D10" s="3" t="s">
        <v>115</v>
      </c>
      <c r="E10" s="8"/>
      <c r="F10" s="8"/>
    </row>
    <row r="11" spans="1:10" s="1" customFormat="1" ht="14.4">
      <c r="A11" s="32"/>
      <c r="B11" s="5">
        <v>5</v>
      </c>
      <c r="C11" s="8" t="s">
        <v>32</v>
      </c>
      <c r="D11" s="3" t="s">
        <v>115</v>
      </c>
      <c r="E11" s="8"/>
      <c r="F11" s="8"/>
    </row>
    <row r="12" spans="1:10" ht="16.5" customHeight="1">
      <c r="A12" s="32"/>
      <c r="B12" s="5">
        <v>6</v>
      </c>
      <c r="C12" s="8" t="s">
        <v>40</v>
      </c>
      <c r="D12" s="3" t="s">
        <v>115</v>
      </c>
      <c r="E12" s="8"/>
      <c r="F12" s="8"/>
    </row>
    <row r="13" spans="1:10" ht="14.4">
      <c r="A13" s="32"/>
      <c r="B13" s="9"/>
      <c r="C13" s="10" t="s">
        <v>3</v>
      </c>
      <c r="D13" s="12"/>
      <c r="E13" s="12"/>
      <c r="F13" s="12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14.4">
      <c r="A14" s="32"/>
      <c r="B14" s="23">
        <v>7</v>
      </c>
      <c r="C14" s="24" t="s">
        <v>72</v>
      </c>
      <c r="D14" s="3" t="s">
        <v>115</v>
      </c>
      <c r="E14" s="8"/>
      <c r="F14" s="8"/>
    </row>
    <row r="15" spans="1:10" s="1" customFormat="1" ht="28.8">
      <c r="A15" s="32"/>
      <c r="B15" s="5">
        <v>8</v>
      </c>
      <c r="C15" s="8" t="s">
        <v>34</v>
      </c>
      <c r="D15" s="3" t="s">
        <v>115</v>
      </c>
      <c r="E15" s="8"/>
      <c r="F15" s="8"/>
    </row>
    <row r="16" spans="1:10" s="1" customFormat="1" ht="28.8">
      <c r="A16" s="32"/>
      <c r="B16" s="5">
        <v>9</v>
      </c>
      <c r="C16" s="8" t="s">
        <v>79</v>
      </c>
      <c r="D16" s="3" t="s">
        <v>115</v>
      </c>
      <c r="E16" s="8"/>
      <c r="F16" s="8"/>
    </row>
    <row r="17" spans="1:10" s="1" customFormat="1" ht="14.4">
      <c r="A17" s="32"/>
      <c r="B17" s="23">
        <v>10</v>
      </c>
      <c r="C17" s="24" t="s">
        <v>76</v>
      </c>
      <c r="D17" s="3" t="s">
        <v>116</v>
      </c>
      <c r="E17" s="8"/>
      <c r="F17" s="8"/>
    </row>
    <row r="18" spans="1:10" s="1" customFormat="1" ht="14.4">
      <c r="A18" s="32"/>
      <c r="B18" s="5">
        <v>11</v>
      </c>
      <c r="C18" s="8" t="s">
        <v>75</v>
      </c>
      <c r="D18" s="3" t="s">
        <v>115</v>
      </c>
      <c r="E18" s="8"/>
      <c r="F18" s="8"/>
    </row>
    <row r="19" spans="1:10" ht="14.4">
      <c r="A19" s="32"/>
      <c r="B19" s="9"/>
      <c r="C19" s="10" t="s">
        <v>97</v>
      </c>
      <c r="D19" s="12"/>
      <c r="E19" s="12"/>
      <c r="F19" s="12"/>
      <c r="G19">
        <f>COUNTIF(D20:D21,"Sim")</f>
        <v>0</v>
      </c>
      <c r="H19">
        <f>COUNTIF(D20:D21,"Parcialmente")</f>
        <v>0</v>
      </c>
      <c r="I19">
        <f>COUNTIF(D20:D21,"Não")</f>
        <v>0</v>
      </c>
      <c r="J19">
        <f>COUNTIF(D20:D21,"NA")</f>
        <v>2</v>
      </c>
    </row>
    <row r="20" spans="1:10" ht="14.4">
      <c r="A20" s="32"/>
      <c r="B20" s="23">
        <v>12</v>
      </c>
      <c r="C20" s="24" t="s">
        <v>78</v>
      </c>
      <c r="D20" s="3" t="s">
        <v>116</v>
      </c>
      <c r="E20" s="8"/>
      <c r="F20" s="8"/>
    </row>
    <row r="21" spans="1:10" ht="28.8">
      <c r="A21" s="32"/>
      <c r="B21" s="5">
        <v>13</v>
      </c>
      <c r="C21" s="8" t="s">
        <v>80</v>
      </c>
      <c r="D21" s="3" t="s">
        <v>116</v>
      </c>
      <c r="E21" s="8"/>
      <c r="F21" s="8"/>
    </row>
    <row r="22" spans="1:10" ht="14.4">
      <c r="A22" s="32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14.4">
      <c r="A23" s="32"/>
      <c r="B23" s="23">
        <v>14</v>
      </c>
      <c r="C23" s="24" t="s">
        <v>72</v>
      </c>
      <c r="D23" s="3" t="s">
        <v>116</v>
      </c>
      <c r="E23" s="8"/>
      <c r="F23" s="8"/>
    </row>
    <row r="24" spans="1:10" ht="14.4">
      <c r="A24" s="32"/>
      <c r="B24" s="5">
        <v>15</v>
      </c>
      <c r="C24" s="8" t="s">
        <v>35</v>
      </c>
      <c r="D24" s="3" t="s">
        <v>116</v>
      </c>
      <c r="E24" s="8"/>
      <c r="F24" s="8"/>
    </row>
    <row r="25" spans="1:10" ht="14.4">
      <c r="A25" s="32"/>
      <c r="B25" s="9"/>
      <c r="C25" s="10" t="s">
        <v>36</v>
      </c>
      <c r="D25" s="12"/>
      <c r="E25" s="12"/>
      <c r="F25" s="12"/>
      <c r="G25">
        <f>COUNTIF(D26:D27,"Sim")</f>
        <v>0</v>
      </c>
      <c r="H25">
        <f>COUNTIF(D26:D27,"Parcialmente")</f>
        <v>0</v>
      </c>
      <c r="I25">
        <f>COUNTIF(D26:D27,"Não")</f>
        <v>0</v>
      </c>
      <c r="J25">
        <f>COUNTIF(D26:D27,"NA")</f>
        <v>2</v>
      </c>
    </row>
    <row r="26" spans="1:10" ht="14.4">
      <c r="A26" s="32"/>
      <c r="B26" s="23">
        <v>16</v>
      </c>
      <c r="C26" s="24" t="s">
        <v>72</v>
      </c>
      <c r="D26" s="3" t="s">
        <v>116</v>
      </c>
      <c r="E26" s="8"/>
      <c r="F26" s="8"/>
    </row>
    <row r="27" spans="1:10" ht="14.4">
      <c r="A27" s="32"/>
      <c r="B27" s="5">
        <v>17</v>
      </c>
      <c r="C27" s="8" t="s">
        <v>37</v>
      </c>
      <c r="D27" s="3" t="s">
        <v>116</v>
      </c>
      <c r="E27" s="8"/>
      <c r="F27" s="8"/>
    </row>
    <row r="28" spans="1:10" ht="14.4">
      <c r="A28" s="32"/>
      <c r="B28" s="9"/>
      <c r="C28" s="10" t="s">
        <v>13</v>
      </c>
      <c r="D28" s="12"/>
      <c r="E28" s="12"/>
      <c r="F28" s="12"/>
      <c r="G28">
        <f>COUNTIF(D29:D36,"Sim")</f>
        <v>8</v>
      </c>
      <c r="H28">
        <f>COUNTIF(D29:D36,"Parcialmente")</f>
        <v>0</v>
      </c>
      <c r="I28">
        <f>COUNTIF(D29:D36,"Não")</f>
        <v>0</v>
      </c>
      <c r="J28">
        <f>COUNTIF(D29:D36,"NA")</f>
        <v>0</v>
      </c>
    </row>
    <row r="29" spans="1:10" ht="14.4">
      <c r="A29" s="32"/>
      <c r="B29" s="23">
        <v>21</v>
      </c>
      <c r="C29" s="24" t="s">
        <v>72</v>
      </c>
      <c r="D29" s="3" t="s">
        <v>115</v>
      </c>
      <c r="E29" s="8"/>
      <c r="F29" s="8"/>
    </row>
    <row r="30" spans="1:10" ht="14.4">
      <c r="A30" s="32"/>
      <c r="B30" s="5">
        <v>22</v>
      </c>
      <c r="C30" s="8" t="s">
        <v>41</v>
      </c>
      <c r="D30" s="3" t="s">
        <v>115</v>
      </c>
      <c r="E30" s="8"/>
      <c r="F30" s="8"/>
    </row>
    <row r="31" spans="1:10" ht="14.4">
      <c r="A31" s="32"/>
      <c r="B31" s="5">
        <v>23</v>
      </c>
      <c r="C31" s="8" t="s">
        <v>86</v>
      </c>
      <c r="D31" s="3" t="s">
        <v>115</v>
      </c>
      <c r="E31" s="8"/>
      <c r="F31" s="8"/>
    </row>
    <row r="32" spans="1:10" ht="14.4">
      <c r="A32" s="32"/>
      <c r="B32" s="5">
        <v>24</v>
      </c>
      <c r="C32" s="8" t="s">
        <v>82</v>
      </c>
      <c r="D32" s="3" t="s">
        <v>115</v>
      </c>
      <c r="E32" s="8"/>
      <c r="F32" s="8"/>
    </row>
    <row r="33" spans="1:10" ht="14.4">
      <c r="A33" s="32"/>
      <c r="B33" s="5">
        <v>25</v>
      </c>
      <c r="C33" s="8" t="s">
        <v>83</v>
      </c>
      <c r="D33" s="3" t="s">
        <v>115</v>
      </c>
      <c r="E33" s="8"/>
      <c r="F33" s="8"/>
    </row>
    <row r="34" spans="1:10" ht="14.4">
      <c r="A34" s="32"/>
      <c r="B34" s="5">
        <v>26</v>
      </c>
      <c r="C34" s="8" t="s">
        <v>87</v>
      </c>
      <c r="D34" s="3" t="s">
        <v>115</v>
      </c>
      <c r="F34" s="8"/>
    </row>
    <row r="35" spans="1:10" ht="18.75" customHeight="1">
      <c r="A35" s="32"/>
      <c r="B35" s="5">
        <v>27</v>
      </c>
      <c r="C35" s="8" t="s">
        <v>84</v>
      </c>
      <c r="D35" s="3" t="s">
        <v>115</v>
      </c>
      <c r="E35" s="8"/>
      <c r="F35" s="8"/>
    </row>
    <row r="36" spans="1:10" ht="14.4">
      <c r="A36" s="32"/>
      <c r="B36" s="5">
        <v>28</v>
      </c>
      <c r="C36" s="8" t="s">
        <v>85</v>
      </c>
      <c r="D36" s="29" t="s">
        <v>115</v>
      </c>
      <c r="E36" s="8"/>
      <c r="F36" s="8"/>
    </row>
    <row r="37" spans="1:10" ht="15" customHeight="1">
      <c r="A37" s="30" t="s">
        <v>30</v>
      </c>
      <c r="B37" s="9"/>
      <c r="C37" s="10" t="s">
        <v>56</v>
      </c>
      <c r="D37" s="12"/>
      <c r="E37" s="12"/>
      <c r="F37" s="12"/>
      <c r="G37">
        <f>COUNTIF(D38:D41,"Sim")</f>
        <v>3</v>
      </c>
      <c r="H37">
        <f>COUNTIF(D38:D41,"Parcialmente")</f>
        <v>0</v>
      </c>
      <c r="I37">
        <f>COUNTIF(D38:D41,"Não")</f>
        <v>1</v>
      </c>
      <c r="J37">
        <f>COUNTIF(D38:D41,"NA")</f>
        <v>0</v>
      </c>
    </row>
    <row r="38" spans="1:10" ht="14.4">
      <c r="A38" s="31"/>
      <c r="B38" s="23">
        <v>30</v>
      </c>
      <c r="C38" s="24" t="s">
        <v>73</v>
      </c>
      <c r="D38" s="3" t="s">
        <v>115</v>
      </c>
      <c r="E38" s="8"/>
      <c r="F38" s="8"/>
    </row>
    <row r="39" spans="1:10" ht="14.4">
      <c r="A39" s="31"/>
      <c r="B39" s="5">
        <v>31</v>
      </c>
      <c r="C39" s="8" t="s">
        <v>38</v>
      </c>
      <c r="D39" s="3" t="s">
        <v>115</v>
      </c>
      <c r="E39" s="8"/>
      <c r="F39" s="8"/>
    </row>
    <row r="40" spans="1:10" ht="14.4">
      <c r="A40" s="31"/>
      <c r="B40" s="5">
        <v>32</v>
      </c>
      <c r="C40" s="8" t="s">
        <v>39</v>
      </c>
      <c r="D40" s="3" t="s">
        <v>115</v>
      </c>
      <c r="E40" s="8"/>
      <c r="F40" s="8"/>
    </row>
    <row r="41" spans="1:10" ht="20.25" customHeight="1">
      <c r="A41" s="31"/>
      <c r="B41" s="5">
        <v>33</v>
      </c>
      <c r="C41" s="8" t="s">
        <v>42</v>
      </c>
      <c r="D41" s="3" t="s">
        <v>114</v>
      </c>
      <c r="E41" s="8" t="s">
        <v>117</v>
      </c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3299DAEA-DE76-409E-BA4B-99D6162A5554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workbookViewId="0">
      <selection activeCell="E9" sqref="E9"/>
    </sheetView>
  </sheetViews>
  <sheetFormatPr defaultRowHeight="17.399999999999999"/>
  <cols>
    <col min="1" max="1" width="21.109375" customWidth="1"/>
    <col min="2" max="2" width="5.33203125" style="4" customWidth="1"/>
    <col min="3" max="3" width="68" style="2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28">
        <v>46323</v>
      </c>
      <c r="D2" s="40" t="s">
        <v>44</v>
      </c>
      <c r="E2" s="41"/>
      <c r="F2" s="21">
        <f>COUNTIF(D5:D41,"Sim")/(COUNTA(D5:D42)-COUNTIF(D5:D42,"NA"))</f>
        <v>0.76</v>
      </c>
    </row>
    <row r="3" spans="1:10" ht="15" thickBot="1">
      <c r="A3" s="34" t="s">
        <v>26</v>
      </c>
      <c r="B3" s="34"/>
      <c r="C3" s="13" t="s">
        <v>118</v>
      </c>
      <c r="D3" s="44" t="s">
        <v>43</v>
      </c>
      <c r="E3" s="45"/>
      <c r="F3" s="46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4.4">
      <c r="A6" s="32"/>
      <c r="B6" s="5">
        <v>1</v>
      </c>
      <c r="C6" s="8" t="s">
        <v>108</v>
      </c>
      <c r="D6" s="3" t="s">
        <v>115</v>
      </c>
      <c r="E6" s="8"/>
      <c r="F6" s="8"/>
      <c r="G6">
        <f>COUNTIF(D6,"Sim")</f>
        <v>1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2"/>
      <c r="B7" s="9"/>
      <c r="C7" s="10" t="s">
        <v>3</v>
      </c>
      <c r="D7" s="12"/>
      <c r="E7" s="12"/>
      <c r="F7" s="12"/>
    </row>
    <row r="8" spans="1:10" s="1" customFormat="1" ht="28.8">
      <c r="A8" s="32"/>
      <c r="B8" s="5">
        <v>2</v>
      </c>
      <c r="C8" s="8" t="s">
        <v>109</v>
      </c>
      <c r="D8" s="3" t="s">
        <v>115</v>
      </c>
      <c r="E8" s="8"/>
      <c r="F8" s="8"/>
      <c r="G8">
        <f>COUNTIF(D8,"Sim")</f>
        <v>1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28.8">
      <c r="A9" s="32"/>
      <c r="B9" s="5">
        <v>3</v>
      </c>
      <c r="C9" s="8" t="s">
        <v>98</v>
      </c>
      <c r="D9" s="3" t="s">
        <v>115</v>
      </c>
      <c r="E9" s="8"/>
      <c r="F9" s="8"/>
      <c r="G9"/>
      <c r="H9"/>
      <c r="I9"/>
      <c r="J9"/>
    </row>
    <row r="10" spans="1:10" ht="14.4">
      <c r="A10" s="32"/>
      <c r="B10" s="9"/>
      <c r="C10" s="10" t="s">
        <v>97</v>
      </c>
      <c r="D10" s="12"/>
      <c r="E10" s="12"/>
      <c r="F10" s="12"/>
    </row>
    <row r="11" spans="1:10" ht="28.8">
      <c r="A11" s="32"/>
      <c r="B11" s="23">
        <v>4</v>
      </c>
      <c r="C11" s="24" t="s">
        <v>110</v>
      </c>
      <c r="D11" s="3" t="s">
        <v>115</v>
      </c>
      <c r="E11" s="8"/>
      <c r="F11" s="8"/>
      <c r="G11">
        <f>COUNTIF(D11:D14,"Sim")</f>
        <v>3</v>
      </c>
      <c r="H11">
        <f>COUNTIF(D11:D14,"Parcialmente")</f>
        <v>1</v>
      </c>
      <c r="I11">
        <f>COUNTIF(D11:D14,"Não")</f>
        <v>0</v>
      </c>
      <c r="J11">
        <f>COUNTIF(D11:D14,"NA")</f>
        <v>0</v>
      </c>
    </row>
    <row r="12" spans="1:10" ht="28.8">
      <c r="A12" s="32"/>
      <c r="B12" s="23">
        <v>5</v>
      </c>
      <c r="C12" s="24" t="s">
        <v>81</v>
      </c>
      <c r="D12" s="3" t="s">
        <v>115</v>
      </c>
      <c r="E12" s="8"/>
      <c r="F12" s="8"/>
    </row>
    <row r="13" spans="1:10" ht="14.4">
      <c r="A13" s="32"/>
      <c r="B13" s="5">
        <v>6</v>
      </c>
      <c r="C13" s="8" t="s">
        <v>45</v>
      </c>
      <c r="D13" s="3" t="s">
        <v>119</v>
      </c>
      <c r="E13" s="8"/>
      <c r="F13" s="8"/>
    </row>
    <row r="14" spans="1:10" ht="28.8">
      <c r="A14" s="32"/>
      <c r="B14" s="5">
        <v>7</v>
      </c>
      <c r="C14" s="8" t="s">
        <v>47</v>
      </c>
      <c r="D14" s="3" t="s">
        <v>115</v>
      </c>
      <c r="E14" s="8"/>
      <c r="F14" s="8"/>
    </row>
    <row r="15" spans="1:10" ht="14.4">
      <c r="A15" s="32"/>
      <c r="B15" s="9"/>
      <c r="C15" s="10" t="s">
        <v>4</v>
      </c>
      <c r="D15" s="12"/>
      <c r="E15" s="12"/>
      <c r="F15" s="12"/>
    </row>
    <row r="16" spans="1:10" ht="14.4">
      <c r="A16" s="32"/>
      <c r="B16" s="5">
        <v>7</v>
      </c>
      <c r="C16" s="8" t="s">
        <v>46</v>
      </c>
      <c r="D16" s="3" t="s">
        <v>116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5" t="s">
        <v>18</v>
      </c>
      <c r="B17" s="9"/>
      <c r="C17" s="10" t="s">
        <v>5</v>
      </c>
      <c r="D17" s="11"/>
      <c r="E17" s="12"/>
      <c r="F17" s="12"/>
    </row>
    <row r="18" spans="1:10" ht="43.2">
      <c r="A18" s="32"/>
      <c r="B18" s="5">
        <v>9</v>
      </c>
      <c r="C18" s="8" t="s">
        <v>48</v>
      </c>
      <c r="D18" s="3" t="s">
        <v>119</v>
      </c>
      <c r="E18" s="8" t="s">
        <v>120</v>
      </c>
      <c r="F18" s="8"/>
      <c r="G18">
        <f>COUNTIF(D18:D21,"Sim")</f>
        <v>2</v>
      </c>
      <c r="H18">
        <f>COUNTIF(D18:D21,"Parcialmente")</f>
        <v>2</v>
      </c>
      <c r="I18">
        <f>COUNTIF(D18:D21,"Não")</f>
        <v>0</v>
      </c>
      <c r="J18">
        <f>COUNTIF(D18:D21,"NA")</f>
        <v>0</v>
      </c>
    </row>
    <row r="19" spans="1:10" ht="28.8">
      <c r="A19" s="32"/>
      <c r="B19" s="23">
        <v>10</v>
      </c>
      <c r="C19" s="24" t="s">
        <v>51</v>
      </c>
      <c r="D19" s="3" t="s">
        <v>119</v>
      </c>
      <c r="E19" s="8" t="s">
        <v>121</v>
      </c>
      <c r="F19" s="8"/>
    </row>
    <row r="20" spans="1:10" s="1" customFormat="1" ht="28.8">
      <c r="A20" s="32"/>
      <c r="B20" s="5">
        <v>11</v>
      </c>
      <c r="C20" s="8" t="s">
        <v>61</v>
      </c>
      <c r="D20" s="3" t="s">
        <v>115</v>
      </c>
      <c r="E20" s="8"/>
      <c r="F20" s="8"/>
    </row>
    <row r="21" spans="1:10" ht="28.8">
      <c r="A21" s="32"/>
      <c r="B21" s="5">
        <v>12</v>
      </c>
      <c r="C21" s="8" t="s">
        <v>74</v>
      </c>
      <c r="D21" s="3" t="s">
        <v>115</v>
      </c>
      <c r="E21" s="8"/>
      <c r="F21" s="8"/>
    </row>
    <row r="22" spans="1:10" ht="14.4">
      <c r="A22" s="35" t="s">
        <v>19</v>
      </c>
      <c r="B22" s="9"/>
      <c r="C22" s="10" t="s">
        <v>6</v>
      </c>
      <c r="D22" s="11"/>
      <c r="E22" s="12"/>
      <c r="F22" s="12"/>
    </row>
    <row r="23" spans="1:10" ht="43.2">
      <c r="A23" s="32"/>
      <c r="B23" s="5">
        <v>17</v>
      </c>
      <c r="C23" s="8" t="s">
        <v>48</v>
      </c>
      <c r="D23" s="3" t="s">
        <v>119</v>
      </c>
      <c r="E23" s="8" t="s">
        <v>120</v>
      </c>
      <c r="F23" s="8"/>
      <c r="G23">
        <f>COUNTIF(D23:D27,"Sim")</f>
        <v>3</v>
      </c>
      <c r="H23">
        <f>COUNTIF(D23:D27,"Parcialmente")</f>
        <v>2</v>
      </c>
      <c r="I23">
        <f>COUNTIF(D23:D27,"Não")</f>
        <v>0</v>
      </c>
      <c r="J23">
        <f>COUNTIF(D23:D27,"NA")</f>
        <v>0</v>
      </c>
    </row>
    <row r="24" spans="1:10" ht="28.8">
      <c r="A24" s="32"/>
      <c r="B24" s="5">
        <v>18</v>
      </c>
      <c r="C24" s="8" t="s">
        <v>50</v>
      </c>
      <c r="D24" s="3" t="s">
        <v>115</v>
      </c>
      <c r="E24" s="8"/>
      <c r="F24" s="8"/>
    </row>
    <row r="25" spans="1:10" ht="28.8">
      <c r="A25" s="32"/>
      <c r="B25" s="5">
        <v>19</v>
      </c>
      <c r="C25" s="8" t="s">
        <v>99</v>
      </c>
      <c r="D25" s="3" t="s">
        <v>115</v>
      </c>
      <c r="E25" s="8"/>
      <c r="F25" s="8"/>
    </row>
    <row r="26" spans="1:10" ht="14.4">
      <c r="A26" s="32"/>
      <c r="B26" s="5">
        <v>21</v>
      </c>
      <c r="C26" s="8" t="s">
        <v>100</v>
      </c>
      <c r="D26" s="3" t="s">
        <v>115</v>
      </c>
      <c r="E26" s="8"/>
      <c r="F26" s="8"/>
    </row>
    <row r="27" spans="1:10" ht="14.4">
      <c r="A27" s="32"/>
      <c r="B27" s="5">
        <v>22</v>
      </c>
      <c r="C27" s="8" t="s">
        <v>101</v>
      </c>
      <c r="D27" s="3" t="s">
        <v>119</v>
      </c>
      <c r="E27" s="8" t="s">
        <v>122</v>
      </c>
      <c r="F27" s="8"/>
    </row>
    <row r="28" spans="1:10" ht="14.4">
      <c r="A28" s="43" t="s">
        <v>11</v>
      </c>
      <c r="B28" s="9"/>
      <c r="C28" s="10" t="s">
        <v>13</v>
      </c>
      <c r="D28" s="11"/>
      <c r="E28" s="12"/>
      <c r="F28" s="12"/>
    </row>
    <row r="29" spans="1:10" ht="14.4">
      <c r="A29" s="43"/>
      <c r="B29" s="5">
        <v>23</v>
      </c>
      <c r="C29" s="8" t="s">
        <v>90</v>
      </c>
      <c r="D29" s="3" t="s">
        <v>115</v>
      </c>
      <c r="E29" s="8"/>
      <c r="F29" s="8"/>
      <c r="G29">
        <f>COUNTIF(D29:D34,"Sim")</f>
        <v>4</v>
      </c>
      <c r="H29">
        <f>COUNTIF(D29:D34,"Parcialmente")</f>
        <v>0</v>
      </c>
      <c r="I29">
        <f>COUNTIF(D29:D34,"Não")</f>
        <v>0</v>
      </c>
      <c r="J29">
        <f>COUNTIF(D29:D34,"NA")</f>
        <v>2</v>
      </c>
    </row>
    <row r="30" spans="1:10" ht="14.4">
      <c r="A30" s="43"/>
      <c r="B30" s="5">
        <v>24</v>
      </c>
      <c r="C30" s="8" t="s">
        <v>89</v>
      </c>
      <c r="D30" s="3" t="s">
        <v>115</v>
      </c>
      <c r="E30" s="8"/>
      <c r="F30" s="8"/>
    </row>
    <row r="31" spans="1:10" ht="28.8">
      <c r="A31" s="43"/>
      <c r="B31" s="5">
        <v>25</v>
      </c>
      <c r="C31" s="8" t="s">
        <v>52</v>
      </c>
      <c r="D31" s="3" t="s">
        <v>116</v>
      </c>
      <c r="E31" s="8"/>
      <c r="F31" s="8"/>
    </row>
    <row r="32" spans="1:10" ht="14.4">
      <c r="A32" s="43"/>
      <c r="B32" s="5">
        <v>26</v>
      </c>
      <c r="C32" s="8" t="s">
        <v>88</v>
      </c>
      <c r="D32" s="3" t="s">
        <v>115</v>
      </c>
      <c r="E32" s="8"/>
      <c r="F32" s="8"/>
    </row>
    <row r="33" spans="1:10" ht="14.4">
      <c r="A33" s="43"/>
      <c r="B33" s="5">
        <v>27</v>
      </c>
      <c r="C33" s="8" t="s">
        <v>54</v>
      </c>
      <c r="D33" s="3" t="s">
        <v>116</v>
      </c>
      <c r="E33" s="8"/>
      <c r="F33" s="8"/>
    </row>
    <row r="34" spans="1:10" ht="14.4">
      <c r="A34" s="43"/>
      <c r="B34" s="5">
        <v>28</v>
      </c>
      <c r="C34" s="8" t="s">
        <v>55</v>
      </c>
      <c r="D34" s="3" t="s">
        <v>115</v>
      </c>
      <c r="E34" s="8"/>
      <c r="F34" s="8"/>
    </row>
    <row r="35" spans="1:10" ht="15" customHeight="1">
      <c r="A35" s="30" t="s">
        <v>30</v>
      </c>
      <c r="B35" s="9"/>
      <c r="C35" s="10" t="s">
        <v>56</v>
      </c>
      <c r="D35" s="11"/>
      <c r="E35" s="12"/>
      <c r="F35" s="12"/>
    </row>
    <row r="36" spans="1:10" ht="28.8">
      <c r="A36" s="31"/>
      <c r="B36" s="5">
        <v>29</v>
      </c>
      <c r="C36" s="8" t="s">
        <v>38</v>
      </c>
      <c r="D36" s="3" t="s">
        <v>115</v>
      </c>
      <c r="E36" s="8"/>
      <c r="F36" s="8"/>
      <c r="G36">
        <f>COUNTIF(D36:D38,"Sim")</f>
        <v>3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31"/>
      <c r="B37" s="5">
        <v>30</v>
      </c>
      <c r="C37" s="8" t="s">
        <v>39</v>
      </c>
      <c r="D37" s="3" t="s">
        <v>115</v>
      </c>
      <c r="E37" s="8"/>
      <c r="F37" s="8"/>
    </row>
    <row r="38" spans="1:10" ht="28.8">
      <c r="A38" s="31"/>
      <c r="B38" s="5">
        <v>31</v>
      </c>
      <c r="C38" s="8" t="s">
        <v>42</v>
      </c>
      <c r="D38" s="3" t="s">
        <v>115</v>
      </c>
      <c r="E38" s="8"/>
      <c r="F38" s="8"/>
    </row>
    <row r="39" spans="1:10" ht="14.4">
      <c r="A39" s="31"/>
      <c r="B39" s="9"/>
      <c r="C39" s="10" t="s">
        <v>15</v>
      </c>
      <c r="D39" s="11"/>
      <c r="E39" s="12"/>
      <c r="F39" s="12"/>
    </row>
    <row r="40" spans="1:10" ht="14.4">
      <c r="A40" s="31"/>
      <c r="B40" s="5">
        <v>32</v>
      </c>
      <c r="C40" s="8" t="s">
        <v>106</v>
      </c>
      <c r="D40" s="3" t="s">
        <v>115</v>
      </c>
      <c r="E40" s="8"/>
      <c r="F40" s="8"/>
      <c r="G40">
        <f>COUNTIF(D40:D41,"Sim")</f>
        <v>1</v>
      </c>
      <c r="H40">
        <f>COUNTIF(D40:D41,"Parcialmente")</f>
        <v>1</v>
      </c>
      <c r="I40">
        <f>COUNTIF(D40:D41,"Não")</f>
        <v>0</v>
      </c>
      <c r="J40">
        <f>COUNTIF(D40:D41,"NA")</f>
        <v>0</v>
      </c>
    </row>
    <row r="41" spans="1:10" ht="14.4">
      <c r="A41" s="31"/>
      <c r="B41" s="5">
        <v>33</v>
      </c>
      <c r="C41" s="8" t="s">
        <v>107</v>
      </c>
      <c r="D41" s="3" t="s">
        <v>119</v>
      </c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40:D41 D36:D38 D29:D34 D18:D21 D16 D11:D14 D8:D9 D6 D23:D27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9.109375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 t="e">
        <f>COUNTIF(D5:D42,"Sim")/(COUNTA(D5:D41)-COUNTIF(D5:D41,"NA"))</f>
        <v>#DIV/0!</v>
      </c>
    </row>
    <row r="3" spans="1:10" ht="15" thickBot="1">
      <c r="A3" s="34" t="s">
        <v>26</v>
      </c>
      <c r="B3" s="34"/>
      <c r="C3" s="13"/>
      <c r="D3" s="44" t="s">
        <v>43</v>
      </c>
      <c r="E3" s="45"/>
      <c r="F3" s="46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4.4">
      <c r="A6" s="32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2"/>
      <c r="B7" s="9"/>
      <c r="C7" s="10" t="s">
        <v>3</v>
      </c>
      <c r="D7" s="12"/>
      <c r="E7" s="12"/>
      <c r="F7" s="12"/>
    </row>
    <row r="8" spans="1:10" s="1" customFormat="1" ht="28.8">
      <c r="A8" s="32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2"/>
      <c r="B9" s="9"/>
      <c r="C9" s="10" t="s">
        <v>97</v>
      </c>
      <c r="D9" s="12"/>
      <c r="E9" s="12"/>
      <c r="F9" s="12"/>
    </row>
    <row r="10" spans="1:10" ht="28.8">
      <c r="A10" s="32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2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2"/>
      <c r="B12" s="5">
        <v>5</v>
      </c>
      <c r="C12" s="8" t="s">
        <v>45</v>
      </c>
      <c r="D12" s="3"/>
      <c r="E12" s="8"/>
      <c r="F12" s="8"/>
    </row>
    <row r="13" spans="1:10" ht="14.4">
      <c r="A13" s="32"/>
      <c r="B13" s="9"/>
      <c r="C13" s="10" t="s">
        <v>4</v>
      </c>
      <c r="D13" s="12"/>
      <c r="E13" s="12"/>
      <c r="F13" s="12"/>
    </row>
    <row r="14" spans="1:10" ht="14.4">
      <c r="A14" s="32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5" t="s">
        <v>18</v>
      </c>
      <c r="B15" s="9"/>
      <c r="C15" s="10" t="s">
        <v>5</v>
      </c>
      <c r="D15" s="11"/>
      <c r="E15" s="12"/>
      <c r="F15" s="12"/>
    </row>
    <row r="16" spans="1:10" ht="14.4">
      <c r="A16" s="32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4.4">
      <c r="A17" s="35" t="s">
        <v>19</v>
      </c>
      <c r="B17" s="9"/>
      <c r="C17" s="10" t="s">
        <v>6</v>
      </c>
      <c r="D17" s="11"/>
      <c r="E17" s="12"/>
      <c r="F17" s="12"/>
    </row>
    <row r="18" spans="1:10" ht="14.4">
      <c r="A18" s="32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28.8">
      <c r="A19" s="32"/>
      <c r="B19" s="5">
        <v>13</v>
      </c>
      <c r="C19" s="8" t="s">
        <v>50</v>
      </c>
      <c r="D19" s="3"/>
      <c r="E19" s="8"/>
      <c r="F19" s="8"/>
    </row>
    <row r="20" spans="1:10" ht="28.8">
      <c r="A20" s="32"/>
      <c r="B20" s="5">
        <v>14</v>
      </c>
      <c r="C20" s="8" t="s">
        <v>99</v>
      </c>
      <c r="D20" s="3"/>
      <c r="E20" s="8"/>
      <c r="F20" s="8"/>
    </row>
    <row r="21" spans="1:10" ht="14.4">
      <c r="A21" s="32"/>
      <c r="B21" s="5">
        <v>15</v>
      </c>
      <c r="C21" s="8" t="s">
        <v>100</v>
      </c>
      <c r="D21" s="3"/>
      <c r="E21" s="8"/>
      <c r="F21" s="8"/>
    </row>
    <row r="22" spans="1:10" ht="14.4">
      <c r="A22" s="32"/>
      <c r="B22" s="5">
        <v>16</v>
      </c>
      <c r="C22" s="8" t="s">
        <v>101</v>
      </c>
      <c r="D22" s="3"/>
      <c r="E22" s="8"/>
      <c r="F22" s="8"/>
    </row>
    <row r="23" spans="1:10" ht="14.4">
      <c r="A23" s="35" t="s">
        <v>20</v>
      </c>
      <c r="B23" s="9"/>
      <c r="C23" s="10" t="s">
        <v>8</v>
      </c>
      <c r="D23" s="11"/>
      <c r="E23" s="12"/>
      <c r="F23" s="12"/>
    </row>
    <row r="24" spans="1:10" ht="28.8">
      <c r="A24" s="32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28.8">
      <c r="A25" s="32"/>
      <c r="B25" s="5">
        <v>18</v>
      </c>
      <c r="C25" s="8" t="s">
        <v>57</v>
      </c>
      <c r="D25" s="3"/>
      <c r="E25" s="8"/>
      <c r="F25" s="8"/>
    </row>
    <row r="26" spans="1:10" ht="14.4">
      <c r="A26" s="32"/>
      <c r="B26" s="5">
        <v>19</v>
      </c>
      <c r="C26" s="8" t="s">
        <v>58</v>
      </c>
      <c r="D26" s="3"/>
      <c r="E26" s="8"/>
      <c r="F26" s="8"/>
    </row>
    <row r="27" spans="1:10" ht="14.4">
      <c r="A27" s="32"/>
      <c r="B27" s="5">
        <v>21</v>
      </c>
      <c r="C27" s="8" t="s">
        <v>59</v>
      </c>
      <c r="D27" s="3"/>
      <c r="E27" s="8"/>
      <c r="F27" s="8"/>
    </row>
    <row r="28" spans="1:10" ht="14.4">
      <c r="A28" s="32"/>
      <c r="B28" s="5">
        <v>22</v>
      </c>
      <c r="C28" s="8" t="s">
        <v>103</v>
      </c>
      <c r="D28" s="3"/>
      <c r="E28" s="8"/>
      <c r="F28" s="8"/>
    </row>
    <row r="29" spans="1:10" ht="14.4">
      <c r="A29" s="43" t="s">
        <v>11</v>
      </c>
      <c r="B29" s="9"/>
      <c r="C29" s="10" t="s">
        <v>13</v>
      </c>
      <c r="D29" s="11"/>
      <c r="E29" s="12"/>
      <c r="F29" s="12"/>
    </row>
    <row r="30" spans="1:10" ht="14.4">
      <c r="A30" s="43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28.8">
      <c r="A31" s="43"/>
      <c r="B31" s="5">
        <v>26</v>
      </c>
      <c r="C31" s="8" t="s">
        <v>104</v>
      </c>
      <c r="D31" s="3"/>
      <c r="E31" s="8"/>
      <c r="F31" s="8"/>
    </row>
    <row r="32" spans="1:10" ht="14.4">
      <c r="A32" s="43"/>
      <c r="B32" s="5">
        <v>27</v>
      </c>
      <c r="C32" s="8" t="s">
        <v>53</v>
      </c>
      <c r="D32" s="3"/>
      <c r="E32" s="8"/>
      <c r="F32" s="8"/>
    </row>
    <row r="33" spans="1:10" ht="14.4">
      <c r="A33" s="43"/>
      <c r="B33" s="5">
        <v>28</v>
      </c>
      <c r="C33" s="8" t="s">
        <v>54</v>
      </c>
      <c r="D33" s="3"/>
      <c r="E33" s="8"/>
      <c r="F33" s="8"/>
    </row>
    <row r="34" spans="1:10" ht="14.4">
      <c r="A34" s="43"/>
      <c r="B34" s="5">
        <v>29</v>
      </c>
      <c r="C34" s="8" t="s">
        <v>55</v>
      </c>
      <c r="D34" s="3"/>
      <c r="E34" s="8"/>
      <c r="F34" s="8"/>
    </row>
    <row r="35" spans="1:10" ht="15" customHeight="1">
      <c r="A35" s="30" t="s">
        <v>30</v>
      </c>
      <c r="B35" s="9"/>
      <c r="C35" s="10" t="s">
        <v>56</v>
      </c>
      <c r="D35" s="11"/>
      <c r="E35" s="12"/>
      <c r="F35" s="12"/>
    </row>
    <row r="36" spans="1:10" ht="28.8">
      <c r="A36" s="31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4.4">
      <c r="A37" s="31"/>
      <c r="B37" s="5">
        <v>31</v>
      </c>
      <c r="C37" s="8" t="s">
        <v>39</v>
      </c>
      <c r="D37" s="3"/>
      <c r="E37" s="8"/>
      <c r="F37" s="8"/>
    </row>
    <row r="38" spans="1:10" ht="28.8">
      <c r="A38" s="31"/>
      <c r="B38" s="5">
        <v>32</v>
      </c>
      <c r="C38" s="8" t="s">
        <v>42</v>
      </c>
      <c r="D38" s="3"/>
      <c r="E38" s="8"/>
      <c r="F38" s="8"/>
    </row>
    <row r="39" spans="1:10" ht="14.4">
      <c r="A39" s="31"/>
      <c r="B39" s="5"/>
      <c r="C39" s="8" t="s">
        <v>105</v>
      </c>
      <c r="D39" s="3"/>
      <c r="E39" s="8"/>
      <c r="F39" s="8"/>
    </row>
    <row r="40" spans="1:10" ht="14.4">
      <c r="A40" s="31"/>
      <c r="B40" s="9"/>
      <c r="C40" s="10" t="s">
        <v>15</v>
      </c>
      <c r="D40" s="11"/>
      <c r="E40" s="12"/>
      <c r="F40" s="12"/>
    </row>
    <row r="41" spans="1:10" ht="14.4">
      <c r="A41" s="31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4.4">
      <c r="A42" s="31"/>
      <c r="B42" s="5">
        <v>34</v>
      </c>
      <c r="C42" s="8" t="s">
        <v>107</v>
      </c>
      <c r="D42" s="3"/>
      <c r="E42" s="8"/>
      <c r="F42" s="8"/>
    </row>
    <row r="51" spans="2:3" ht="14.4">
      <c r="B51"/>
      <c r="C51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</sheetData>
  <mergeCells count="11">
    <mergeCell ref="A1:F1"/>
    <mergeCell ref="A2:B2"/>
    <mergeCell ref="A3:B3"/>
    <mergeCell ref="D2:E2"/>
    <mergeCell ref="D3:F3"/>
    <mergeCell ref="A5:A14"/>
    <mergeCell ref="A15:A16"/>
    <mergeCell ref="A17:A22"/>
    <mergeCell ref="A29:A34"/>
    <mergeCell ref="A35:A42"/>
    <mergeCell ref="A23:A28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6 D8 D10:D12 D14 D16 D36:D39 D41:D42 D18:D22 D24:D28 D30:D34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topLeftCell="A28" workbookViewId="0">
      <selection activeCell="D3" sqref="D3:F3"/>
    </sheetView>
  </sheetViews>
  <sheetFormatPr defaultRowHeight="17.399999999999999"/>
  <cols>
    <col min="1" max="1" width="21.109375" customWidth="1"/>
    <col min="2" max="2" width="5.33203125" style="4" customWidth="1"/>
    <col min="3" max="3" width="71.33203125" style="2" bestFit="1" customWidth="1"/>
    <col min="4" max="4" width="12.6640625" bestFit="1" customWidth="1"/>
    <col min="5" max="5" width="29.6640625" customWidth="1"/>
    <col min="6" max="6" width="32.6640625" customWidth="1"/>
    <col min="7" max="10" width="0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 t="e">
        <f>COUNTIF(D5:D43,"Sim")/(COUNTA(D5:D43)-COUNTIF(D5:D43,"NA"))</f>
        <v>#DIV/0!</v>
      </c>
    </row>
    <row r="3" spans="1:10" ht="15" thickBot="1">
      <c r="A3" s="34" t="s">
        <v>26</v>
      </c>
      <c r="B3" s="34"/>
      <c r="C3" s="13"/>
      <c r="D3" s="44" t="s">
        <v>43</v>
      </c>
      <c r="E3" s="45"/>
      <c r="F3" s="46"/>
    </row>
    <row r="4" spans="1:10" ht="14.4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4.4">
      <c r="A6" s="32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4.4">
      <c r="A7" s="32"/>
      <c r="B7" s="9"/>
      <c r="C7" s="10" t="s">
        <v>3</v>
      </c>
      <c r="D7" s="12"/>
      <c r="E7" s="12"/>
      <c r="F7" s="12"/>
    </row>
    <row r="8" spans="1:10" s="1" customFormat="1" ht="28.8">
      <c r="A8" s="32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4.4">
      <c r="A9" s="32"/>
      <c r="B9" s="9"/>
      <c r="C9" s="10" t="s">
        <v>14</v>
      </c>
      <c r="D9" s="12"/>
      <c r="E9" s="12"/>
      <c r="F9" s="12"/>
    </row>
    <row r="10" spans="1:10" ht="28.8">
      <c r="A10" s="32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28.8">
      <c r="A11" s="32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2"/>
      <c r="B12" s="5">
        <v>5</v>
      </c>
      <c r="C12" s="8" t="s">
        <v>45</v>
      </c>
      <c r="D12" s="3"/>
      <c r="E12" s="8"/>
      <c r="F12" s="8"/>
    </row>
    <row r="13" spans="1:10" ht="14.4">
      <c r="A13" s="32"/>
      <c r="B13" s="9"/>
      <c r="C13" s="10" t="s">
        <v>4</v>
      </c>
      <c r="D13" s="12"/>
      <c r="E13" s="12"/>
      <c r="F13" s="12"/>
    </row>
    <row r="14" spans="1:10" ht="14.4">
      <c r="A14" s="32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5" t="s">
        <v>18</v>
      </c>
      <c r="B15" s="9"/>
      <c r="C15" s="10" t="s">
        <v>5</v>
      </c>
      <c r="D15" s="11"/>
      <c r="E15" s="12"/>
      <c r="F15" s="12"/>
    </row>
    <row r="16" spans="1:10" ht="14.4">
      <c r="A16" s="32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5" t="s">
        <v>19</v>
      </c>
      <c r="B17" s="9"/>
      <c r="C17" s="10" t="s">
        <v>6</v>
      </c>
      <c r="D17" s="11"/>
      <c r="E17" s="12"/>
      <c r="F17" s="12"/>
    </row>
    <row r="18" spans="1:10" ht="14.4">
      <c r="A18" s="32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4.4">
      <c r="A19" s="32"/>
      <c r="B19" s="5">
        <v>10</v>
      </c>
      <c r="C19" s="8" t="s">
        <v>64</v>
      </c>
      <c r="D19" s="3"/>
      <c r="E19" s="8"/>
      <c r="F19" s="8"/>
    </row>
    <row r="20" spans="1:10" ht="28.8">
      <c r="A20" s="32"/>
      <c r="B20" s="5">
        <v>11</v>
      </c>
      <c r="C20" s="8" t="s">
        <v>99</v>
      </c>
      <c r="D20" s="3"/>
      <c r="E20" s="8"/>
      <c r="F20" s="8"/>
    </row>
    <row r="21" spans="1:10" ht="14.4">
      <c r="A21" s="36"/>
      <c r="B21" s="5">
        <v>13</v>
      </c>
      <c r="C21" s="8" t="s">
        <v>49</v>
      </c>
      <c r="D21" s="3"/>
      <c r="E21" s="8"/>
      <c r="F21" s="8"/>
    </row>
    <row r="22" spans="1:10" ht="14.4">
      <c r="A22" s="35" t="s">
        <v>20</v>
      </c>
      <c r="B22" s="9"/>
      <c r="C22" s="10" t="s">
        <v>8</v>
      </c>
      <c r="D22" s="11"/>
      <c r="E22" s="12"/>
      <c r="F22" s="12"/>
    </row>
    <row r="23" spans="1:10" ht="14.4">
      <c r="A23" s="32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4.4">
      <c r="A24" s="32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5" t="s">
        <v>21</v>
      </c>
      <c r="B25" s="9"/>
      <c r="C25" s="10" t="s">
        <v>9</v>
      </c>
      <c r="D25" s="11"/>
      <c r="E25" s="12"/>
      <c r="F25" s="12"/>
    </row>
    <row r="26" spans="1:10" s="1" customFormat="1" ht="28.8">
      <c r="A26" s="32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3.2">
      <c r="A27" s="32"/>
      <c r="B27" s="5">
        <v>25</v>
      </c>
      <c r="C27" s="8" t="s">
        <v>62</v>
      </c>
      <c r="D27" s="3"/>
      <c r="E27" s="8"/>
      <c r="F27" s="8"/>
    </row>
    <row r="28" spans="1:10" ht="14.4">
      <c r="A28" s="32"/>
      <c r="B28" s="9"/>
      <c r="C28" s="10" t="s">
        <v>10</v>
      </c>
      <c r="D28" s="11"/>
      <c r="E28" s="12"/>
      <c r="F28" s="12"/>
    </row>
    <row r="29" spans="1:10" ht="28.8">
      <c r="A29" s="32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4.4">
      <c r="A30" s="43" t="s">
        <v>11</v>
      </c>
      <c r="B30" s="9"/>
      <c r="C30" s="10" t="s">
        <v>13</v>
      </c>
      <c r="D30" s="11"/>
      <c r="E30" s="12"/>
      <c r="F30" s="12"/>
    </row>
    <row r="31" spans="1:10" ht="14.4">
      <c r="A31" s="43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28.8">
      <c r="A32" s="43"/>
      <c r="B32" s="5">
        <v>20</v>
      </c>
      <c r="C32" s="8" t="s">
        <v>104</v>
      </c>
      <c r="D32" s="3"/>
      <c r="E32" s="8"/>
      <c r="F32" s="8"/>
    </row>
    <row r="33" spans="1:10" ht="14.4">
      <c r="A33" s="43"/>
      <c r="B33" s="5">
        <v>21</v>
      </c>
      <c r="C33" s="8" t="s">
        <v>53</v>
      </c>
      <c r="D33" s="3"/>
      <c r="E33" s="8"/>
      <c r="F33" s="8"/>
    </row>
    <row r="34" spans="1:10" ht="14.4">
      <c r="A34" s="43"/>
      <c r="B34" s="5">
        <v>24</v>
      </c>
      <c r="C34" s="8" t="s">
        <v>113</v>
      </c>
      <c r="D34" s="3"/>
      <c r="E34" s="8"/>
      <c r="F34" s="8"/>
    </row>
    <row r="35" spans="1:10" ht="14.4">
      <c r="A35" s="43"/>
      <c r="B35" s="5">
        <v>25</v>
      </c>
      <c r="C35" s="8" t="s">
        <v>55</v>
      </c>
      <c r="D35" s="3"/>
      <c r="E35" s="8"/>
      <c r="F35" s="8"/>
    </row>
    <row r="36" spans="1:10" ht="15" customHeight="1">
      <c r="A36" s="30" t="s">
        <v>30</v>
      </c>
      <c r="B36" s="9"/>
      <c r="C36" s="10" t="s">
        <v>56</v>
      </c>
      <c r="D36" s="11"/>
      <c r="E36" s="12"/>
      <c r="F36" s="12"/>
    </row>
    <row r="37" spans="1:10" ht="28.8">
      <c r="A37" s="31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4.4">
      <c r="A38" s="31"/>
      <c r="B38" s="5">
        <v>27</v>
      </c>
      <c r="C38" s="8" t="s">
        <v>39</v>
      </c>
      <c r="D38" s="3"/>
      <c r="E38" s="8"/>
      <c r="F38" s="8"/>
    </row>
    <row r="39" spans="1:10" ht="28.8">
      <c r="A39" s="31"/>
      <c r="B39" s="5">
        <v>28</v>
      </c>
      <c r="C39" s="8" t="s">
        <v>42</v>
      </c>
      <c r="D39" s="3"/>
      <c r="E39" s="8"/>
      <c r="F39" s="8"/>
    </row>
    <row r="40" spans="1:10" ht="14.4">
      <c r="A40" s="31"/>
      <c r="B40" s="5"/>
      <c r="C40" s="8" t="s">
        <v>105</v>
      </c>
      <c r="D40" s="3"/>
      <c r="E40" s="8"/>
      <c r="F40" s="8"/>
    </row>
    <row r="41" spans="1:10" ht="14.4">
      <c r="A41" s="31"/>
      <c r="B41" s="9"/>
      <c r="C41" s="10" t="s">
        <v>15</v>
      </c>
      <c r="D41" s="11"/>
      <c r="E41" s="12"/>
      <c r="F41" s="12"/>
    </row>
    <row r="42" spans="1:10" ht="14.4">
      <c r="A42" s="31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4.4">
      <c r="A43" s="31"/>
      <c r="B43" s="5">
        <v>30</v>
      </c>
      <c r="C43" s="8" t="s">
        <v>107</v>
      </c>
      <c r="D43" s="3"/>
      <c r="E43" s="8"/>
      <c r="F43" s="8"/>
    </row>
    <row r="52" spans="2:3" ht="14.4">
      <c r="B52"/>
      <c r="C52"/>
    </row>
    <row r="53" spans="2:3" ht="14.4">
      <c r="B53"/>
      <c r="C53"/>
    </row>
    <row r="54" spans="2:3" ht="14.4">
      <c r="B54"/>
      <c r="C54"/>
    </row>
    <row r="55" spans="2:3" ht="14.4">
      <c r="B55"/>
      <c r="C55"/>
    </row>
    <row r="56" spans="2:3" ht="14.4">
      <c r="B56"/>
      <c r="C56"/>
    </row>
    <row r="57" spans="2:3" ht="14.4">
      <c r="B57"/>
      <c r="C57"/>
    </row>
    <row r="58" spans="2:3" ht="14.4">
      <c r="B58"/>
      <c r="C58"/>
    </row>
  </sheetData>
  <mergeCells count="12">
    <mergeCell ref="A5:A14"/>
    <mergeCell ref="A15:A16"/>
    <mergeCell ref="A1:F1"/>
    <mergeCell ref="A2:B2"/>
    <mergeCell ref="A3:B3"/>
    <mergeCell ref="D2:E2"/>
    <mergeCell ref="D3:F3"/>
    <mergeCell ref="A22:A24"/>
    <mergeCell ref="A30:A35"/>
    <mergeCell ref="A36:A43"/>
    <mergeCell ref="A17:A21"/>
    <mergeCell ref="A25:A29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6 D8 D10:D12 D14 D16 D23:D24 D26:D27 D29 D31:D35 D42:D43 D18:D21 D37:D40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2026-10-28T13:34:33Z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